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 defaultThemeVersion="166925"/>
  <xr:revisionPtr revIDLastSave="0" documentId="8_{FE06BD7F-767B-42A4-AB24-04FBD6F98774}" xr6:coauthVersionLast="47" xr6:coauthVersionMax="47" xr10:uidLastSave="{00000000-0000-0000-0000-000000000000}"/>
  <bookViews>
    <workbookView xWindow="240" yWindow="105" windowWidth="14805" windowHeight="8010" activeTab="37" xr2:uid="{00000000-000D-0000-FFFF-FFFF00000000}"/>
  </bookViews>
  <sheets>
    <sheet name="Prenatal Phases" sheetId="1" r:id="rId1"/>
    <sheet name="Anatomy Growth Engine" sheetId="6" r:id="rId2"/>
    <sheet name="Organ &amp; System Activation" sheetId="2" r:id="rId3"/>
    <sheet name="Tick-Based DNA Loop" sheetId="3" r:id="rId4"/>
    <sheet name="DNA Loop Engine" sheetId="5" r:id="rId5"/>
    <sheet name="Respiratory Control" sheetId="7" r:id="rId6"/>
    <sheet name="Circulatory System" sheetId="8" r:id="rId7"/>
    <sheet name="Digestive Control" sheetId="9" r:id="rId8"/>
    <sheet name="Sensory Integration" sheetId="10" r:id="rId9"/>
    <sheet name="Adult Anatomy Engine" sheetId="11" r:id="rId10"/>
    <sheet name="Infant Development" sheetId="12" r:id="rId11"/>
    <sheet name="Infant Anatomy Engine" sheetId="13" r:id="rId12"/>
    <sheet name="Child Development" sheetId="14" r:id="rId13"/>
    <sheet name="Child Anatomy Engine" sheetId="15" r:id="rId14"/>
    <sheet name="Cognition &amp; Language" sheetId="16" r:id="rId15"/>
    <sheet name="Adolescent Development" sheetId="17" r:id="rId16"/>
    <sheet name="Adult Cognition" sheetId="18" r:id="rId17"/>
    <sheet name="World Matrix System" sheetId="19" r:id="rId18"/>
    <sheet name="Environmental Physics" sheetId="20" r:id="rId19"/>
    <sheet name="Sex Random Math" sheetId="21" r:id="rId20"/>
    <sheet name="Genetic Inheritance" sheetId="22" r:id="rId21"/>
    <sheet name="World Inventory" sheetId="23" r:id="rId22"/>
    <sheet name="World Interaction" sheetId="24" r:id="rId23"/>
    <sheet name="Ecosystem Feedback" sheetId="25" r:id="rId24"/>
    <sheet name="Planetary Resources" sheetId="26" r:id="rId25"/>
    <sheet name="Cognition Matrix" sheetId="27" r:id="rId26"/>
    <sheet name="Memory System" sheetId="28" r:id="rId27"/>
    <sheet name="Emotion &amp; Reinforcement" sheetId="29" r:id="rId28"/>
    <sheet name="Energy &amp; ATP System" sheetId="30" r:id="rId29"/>
    <sheet name="Predictive Simulation" sheetId="31" r:id="rId30"/>
    <sheet name="Attention Control" sheetId="32" r:id="rId31"/>
    <sheet name="Consciousness Loop" sheetId="33" r:id="rId32"/>
    <sheet name="NPC System" sheetId="34" r:id="rId33"/>
    <sheet name="NPC Development" sheetId="35" r:id="rId34"/>
    <sheet name="Nutrition-Sleep-Wake" sheetId="36" r:id="rId35"/>
    <sheet name="Parental Genesis" sheetId="37" r:id="rId36"/>
    <sheet name="System Connections" sheetId="38" r:id="rId37"/>
    <sheet name="BeenFore City" sheetId="39" r:id="rId38"/>
    <sheet name="Language Learning" sheetId="40" r:id="rId39"/>
    <sheet name="Mathematical Framework" sheetId="41" r:id="rId40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0" l="1"/>
  <c r="N3" i="40"/>
  <c r="N4" i="40"/>
  <c r="N5" i="40"/>
  <c r="N6" i="40"/>
  <c r="N7" i="40"/>
  <c r="N8" i="40"/>
  <c r="N9" i="40"/>
  <c r="N10" i="40"/>
  <c r="N11" i="40"/>
  <c r="O2" i="40"/>
  <c r="O3" i="40"/>
  <c r="O4" i="40"/>
  <c r="O5" i="40"/>
  <c r="O6" i="40"/>
  <c r="O7" i="40"/>
  <c r="O8" i="40"/>
  <c r="O9" i="40"/>
  <c r="O10" i="40"/>
  <c r="O11" i="40"/>
  <c r="C64" i="39"/>
  <c r="B8" i="39"/>
  <c r="B7" i="39"/>
  <c r="B6" i="39"/>
  <c r="B5" i="39"/>
  <c r="G34" i="38"/>
  <c r="I23" i="38"/>
  <c r="I24" i="38"/>
  <c r="I25" i="38"/>
  <c r="I26" i="38"/>
  <c r="I27" i="38"/>
  <c r="I28" i="38"/>
  <c r="I29" i="38"/>
  <c r="I30" i="38"/>
  <c r="I31" i="38"/>
  <c r="H23" i="38"/>
  <c r="H24" i="38"/>
  <c r="H25" i="38"/>
  <c r="H26" i="38"/>
  <c r="H27" i="38"/>
  <c r="H28" i="38"/>
  <c r="H29" i="38"/>
  <c r="H30" i="38"/>
  <c r="H31" i="38"/>
  <c r="B4" i="38"/>
  <c r="B5" i="38"/>
  <c r="B6" i="38"/>
  <c r="B7" i="38"/>
  <c r="B8" i="38"/>
  <c r="B4" i="35"/>
  <c r="B4" i="34"/>
  <c r="B4" i="33"/>
  <c r="B4" i="28"/>
  <c r="B4" i="27"/>
  <c r="B4" i="18"/>
  <c r="B4" i="17"/>
  <c r="B4" i="14"/>
  <c r="B4" i="12"/>
  <c r="R2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E59" i="5"/>
  <c r="B59" i="5"/>
  <c r="E18" i="5"/>
  <c r="B39" i="5"/>
  <c r="B38" i="5"/>
  <c r="B28" i="5"/>
  <c r="B21" i="5"/>
  <c r="B20" i="5"/>
  <c r="B19" i="5"/>
  <c r="B18" i="5"/>
  <c r="B15" i="5"/>
  <c r="B14" i="5"/>
  <c r="B13" i="5"/>
  <c r="B12" i="5"/>
  <c r="F64" i="37"/>
  <c r="F63" i="37"/>
  <c r="F62" i="37"/>
  <c r="F61" i="37"/>
  <c r="F60" i="37"/>
  <c r="C66" i="37"/>
  <c r="C65" i="37"/>
  <c r="C64" i="37"/>
  <c r="C63" i="37"/>
  <c r="C62" i="37"/>
  <c r="C61" i="37"/>
  <c r="C60" i="37"/>
  <c r="C59" i="37"/>
  <c r="B66" i="37"/>
  <c r="B65" i="37"/>
  <c r="B64" i="37"/>
  <c r="B63" i="37"/>
  <c r="B62" i="37"/>
  <c r="B61" i="37"/>
  <c r="B60" i="37"/>
  <c r="B59" i="37"/>
  <c r="F56" i="37"/>
  <c r="E56" i="37"/>
  <c r="F55" i="37"/>
  <c r="E55" i="37"/>
  <c r="F54" i="37"/>
  <c r="E54" i="37"/>
  <c r="F53" i="37"/>
  <c r="E53" i="37"/>
  <c r="F52" i="37"/>
  <c r="E52" i="37"/>
  <c r="F51" i="37"/>
  <c r="E51" i="37"/>
  <c r="F50" i="37"/>
  <c r="E50" i="37"/>
  <c r="F49" i="37"/>
  <c r="E49" i="37"/>
  <c r="H45" i="37"/>
  <c r="F45" i="37"/>
  <c r="H44" i="37"/>
  <c r="F44" i="37"/>
  <c r="H43" i="37"/>
  <c r="F43" i="37"/>
  <c r="H42" i="37"/>
  <c r="F42" i="37"/>
  <c r="H41" i="37"/>
  <c r="F41" i="37"/>
  <c r="H40" i="37"/>
  <c r="F40" i="37"/>
  <c r="H39" i="37"/>
  <c r="F39" i="37"/>
  <c r="F38" i="37"/>
  <c r="H34" i="37"/>
  <c r="G34" i="37"/>
  <c r="H33" i="37"/>
  <c r="G33" i="37"/>
  <c r="H32" i="37"/>
  <c r="G32" i="37"/>
  <c r="H31" i="37"/>
  <c r="G31" i="37"/>
  <c r="H30" i="37"/>
  <c r="G30" i="37"/>
  <c r="H29" i="37"/>
  <c r="G29" i="37"/>
  <c r="H28" i="37"/>
  <c r="G28" i="37"/>
  <c r="H27" i="37"/>
  <c r="G27" i="37"/>
  <c r="H26" i="37"/>
  <c r="G26" i="37"/>
  <c r="H25" i="37"/>
  <c r="G25" i="37"/>
  <c r="H21" i="37"/>
  <c r="H20" i="37"/>
  <c r="H19" i="37"/>
  <c r="H18" i="37"/>
  <c r="H17" i="37"/>
  <c r="H16" i="37"/>
  <c r="H15" i="37"/>
  <c r="H14" i="37"/>
  <c r="B10" i="37"/>
  <c r="B9" i="37"/>
  <c r="B8" i="37"/>
  <c r="B7" i="37"/>
  <c r="B5" i="37"/>
  <c r="B4" i="37"/>
  <c r="I21" i="36"/>
  <c r="B5" i="36"/>
  <c r="B9" i="35"/>
  <c r="B49" i="35"/>
  <c r="A49" i="35"/>
  <c r="B48" i="35"/>
  <c r="A48" i="35"/>
  <c r="B47" i="35"/>
  <c r="A47" i="35"/>
  <c r="B46" i="35"/>
  <c r="A46" i="35"/>
  <c r="B45" i="35"/>
  <c r="A45" i="35"/>
  <c r="B44" i="35"/>
  <c r="A44" i="35"/>
  <c r="B43" i="35"/>
  <c r="A43" i="35"/>
  <c r="B42" i="35"/>
  <c r="A42" i="35"/>
  <c r="C38" i="35"/>
  <c r="B38" i="35"/>
  <c r="A38" i="35"/>
  <c r="C37" i="35"/>
  <c r="B37" i="35"/>
  <c r="A37" i="35"/>
  <c r="C36" i="35"/>
  <c r="B36" i="35"/>
  <c r="A36" i="35"/>
  <c r="C35" i="35"/>
  <c r="B35" i="35"/>
  <c r="A35" i="35"/>
  <c r="C34" i="35"/>
  <c r="B34" i="35"/>
  <c r="A34" i="35"/>
  <c r="C33" i="35"/>
  <c r="B33" i="35"/>
  <c r="A33" i="35"/>
  <c r="C32" i="35"/>
  <c r="B32" i="35"/>
  <c r="A32" i="35"/>
  <c r="C31" i="35"/>
  <c r="B31" i="35"/>
  <c r="A31" i="35"/>
  <c r="E80" i="35"/>
  <c r="E79" i="35"/>
  <c r="E78" i="35"/>
  <c r="E77" i="35"/>
  <c r="E76" i="35"/>
  <c r="E75" i="35"/>
  <c r="E74" i="35"/>
  <c r="E73" i="35"/>
  <c r="E72" i="35"/>
  <c r="B72" i="35"/>
  <c r="K49" i="35"/>
  <c r="J49" i="35"/>
  <c r="I49" i="35"/>
  <c r="H49" i="35"/>
  <c r="K48" i="35"/>
  <c r="J48" i="35"/>
  <c r="I48" i="35"/>
  <c r="H48" i="35"/>
  <c r="K47" i="35"/>
  <c r="J47" i="35"/>
  <c r="I47" i="35"/>
  <c r="H47" i="35"/>
  <c r="K46" i="35"/>
  <c r="J46" i="35"/>
  <c r="I46" i="35"/>
  <c r="H46" i="35"/>
  <c r="K45" i="35"/>
  <c r="J45" i="35"/>
  <c r="I45" i="35"/>
  <c r="H45" i="35"/>
  <c r="K44" i="35"/>
  <c r="J44" i="35"/>
  <c r="I44" i="35"/>
  <c r="H44" i="35"/>
  <c r="K43" i="35"/>
  <c r="J43" i="35"/>
  <c r="I43" i="35"/>
  <c r="H43" i="35"/>
  <c r="K42" i="35"/>
  <c r="J42" i="35"/>
  <c r="I42" i="35"/>
  <c r="H42" i="35"/>
  <c r="D38" i="35"/>
  <c r="D37" i="35"/>
  <c r="D36" i="35"/>
  <c r="D35" i="35"/>
  <c r="D34" i="35"/>
  <c r="D33" i="35"/>
  <c r="D32" i="35"/>
  <c r="D31" i="35"/>
  <c r="B11" i="35"/>
  <c r="B10" i="35"/>
  <c r="B6" i="35"/>
  <c r="B60" i="28"/>
  <c r="B59" i="28"/>
  <c r="B58" i="28"/>
  <c r="B11" i="34"/>
  <c r="B10" i="34"/>
  <c r="J60" i="34"/>
  <c r="J58" i="34"/>
  <c r="B63" i="34"/>
  <c r="B62" i="34"/>
  <c r="B61" i="34"/>
  <c r="B60" i="34"/>
  <c r="B59" i="34"/>
  <c r="B58" i="34"/>
  <c r="B57" i="34"/>
  <c r="B56" i="34"/>
  <c r="B55" i="34"/>
  <c r="B54" i="34"/>
  <c r="B53" i="34"/>
  <c r="D48" i="33"/>
  <c r="D55" i="33"/>
  <c r="C33" i="33"/>
  <c r="C34" i="33"/>
  <c r="C35" i="33"/>
  <c r="C36" i="33"/>
  <c r="C42" i="33"/>
  <c r="C43" i="33"/>
  <c r="B33" i="33"/>
  <c r="C34" i="32"/>
  <c r="C35" i="32"/>
  <c r="C36" i="32"/>
  <c r="C38" i="32"/>
  <c r="C42" i="32"/>
  <c r="B34" i="32"/>
  <c r="E20" i="32"/>
  <c r="E21" i="32"/>
  <c r="E22" i="32"/>
  <c r="E23" i="32"/>
  <c r="C37" i="31"/>
  <c r="C38" i="31"/>
  <c r="C39" i="31"/>
  <c r="C44" i="31"/>
  <c r="B37" i="31"/>
  <c r="C38" i="30"/>
  <c r="C39" i="30"/>
  <c r="C42" i="30"/>
  <c r="C43" i="30"/>
  <c r="C45" i="30"/>
  <c r="C46" i="30"/>
  <c r="B38" i="30"/>
  <c r="B42" i="30"/>
  <c r="B43" i="30"/>
  <c r="B7" i="30"/>
  <c r="C40" i="29"/>
  <c r="C41" i="29"/>
  <c r="C42" i="29"/>
  <c r="C43" i="29"/>
  <c r="B40" i="29"/>
  <c r="B41" i="29"/>
  <c r="B42" i="29"/>
  <c r="E29" i="29"/>
  <c r="E30" i="29"/>
  <c r="E31" i="29"/>
  <c r="E32" i="29"/>
  <c r="E33" i="29"/>
  <c r="B8" i="29"/>
  <c r="B7" i="29"/>
  <c r="B6" i="29"/>
  <c r="C28" i="28"/>
  <c r="C29" i="28"/>
  <c r="C30" i="28"/>
  <c r="C31" i="28"/>
  <c r="C33" i="28"/>
  <c r="C34" i="28"/>
  <c r="B28" i="28"/>
  <c r="J55" i="23"/>
  <c r="J54" i="23"/>
  <c r="J53" i="23"/>
  <c r="J52" i="23"/>
  <c r="J51" i="23"/>
  <c r="G41" i="23"/>
  <c r="G40" i="23"/>
  <c r="G39" i="23"/>
  <c r="G38" i="23"/>
  <c r="B44" i="23"/>
  <c r="B43" i="23"/>
  <c r="B42" i="23"/>
  <c r="B41" i="23"/>
  <c r="B40" i="23"/>
  <c r="B39" i="23"/>
  <c r="G35" i="23"/>
  <c r="G34" i="23"/>
  <c r="G33" i="23"/>
  <c r="G32" i="23"/>
  <c r="B36" i="23"/>
  <c r="B35" i="23"/>
  <c r="B34" i="23"/>
  <c r="B33" i="23"/>
  <c r="B32" i="23"/>
  <c r="I23" i="23" a="1"/>
  <c r="I23" i="23"/>
  <c r="I24" i="23" a="1"/>
  <c r="I24" i="23"/>
  <c r="I25" i="23" a="1"/>
  <c r="I25" i="23"/>
  <c r="G38" i="26"/>
  <c r="G37" i="26"/>
  <c r="G36" i="26"/>
  <c r="G35" i="26"/>
  <c r="G26" i="26" a="1"/>
  <c r="G26" i="26"/>
  <c r="E55" i="25"/>
  <c r="E53" i="25"/>
  <c r="H34" i="25"/>
  <c r="H33" i="25"/>
  <c r="I27" i="25"/>
  <c r="H27" i="25"/>
  <c r="I26" i="25"/>
  <c r="H26" i="25"/>
  <c r="I25" i="25"/>
  <c r="H25" i="25"/>
  <c r="I22" i="25"/>
  <c r="H22" i="25"/>
  <c r="I21" i="25"/>
  <c r="H21" i="25"/>
  <c r="I20" i="25"/>
  <c r="H20" i="25"/>
  <c r="D34" i="25"/>
  <c r="B34" i="25"/>
  <c r="D33" i="25"/>
  <c r="D32" i="25"/>
  <c r="D31" i="25"/>
  <c r="D30" i="25"/>
  <c r="D24" i="25"/>
  <c r="B40" i="24"/>
  <c r="B39" i="24"/>
  <c r="B38" i="24"/>
  <c r="B33" i="24"/>
  <c r="B32" i="24"/>
  <c r="B31" i="24"/>
  <c r="D103" i="22"/>
  <c r="B103" i="22"/>
  <c r="D102" i="22"/>
  <c r="B102" i="22"/>
  <c r="D101" i="22"/>
  <c r="B101" i="22"/>
  <c r="D100" i="22"/>
  <c r="B100" i="22"/>
  <c r="D99" i="22"/>
  <c r="B99" i="22"/>
  <c r="E84" i="22"/>
  <c r="D84" i="22"/>
  <c r="B84" i="22"/>
  <c r="D75" i="22"/>
  <c r="B75" i="22"/>
  <c r="F73" i="22"/>
  <c r="E73" i="22"/>
  <c r="D73" i="22"/>
  <c r="F72" i="22"/>
  <c r="E72" i="22"/>
  <c r="D72" i="22"/>
  <c r="F71" i="22"/>
  <c r="E71" i="22"/>
  <c r="D71" i="22"/>
  <c r="F70" i="22"/>
  <c r="E70" i="22"/>
  <c r="D70" i="22"/>
  <c r="F69" i="22"/>
  <c r="E69" i="22"/>
  <c r="D69" i="22"/>
  <c r="F68" i="22"/>
  <c r="E68" i="22"/>
  <c r="D68" i="22"/>
  <c r="F57" i="22"/>
  <c r="F53" i="22"/>
  <c r="F52" i="22"/>
  <c r="F51" i="22"/>
  <c r="F50" i="22"/>
  <c r="F49" i="22"/>
  <c r="F48" i="22"/>
  <c r="F47" i="22"/>
  <c r="F46" i="22"/>
  <c r="F45" i="22"/>
  <c r="F44" i="22"/>
  <c r="B91" i="22" s="1"/>
  <c r="J40" i="22"/>
  <c r="J39" i="22"/>
  <c r="J38" i="22"/>
  <c r="J37" i="22"/>
  <c r="J36" i="22"/>
  <c r="J35" i="22"/>
  <c r="J34" i="22"/>
  <c r="J33" i="22"/>
  <c r="J32" i="22"/>
  <c r="J31" i="22"/>
  <c r="C107" i="22" s="1"/>
  <c r="C40" i="22"/>
  <c r="C39" i="22"/>
  <c r="C38" i="22"/>
  <c r="C37" i="22"/>
  <c r="C36" i="22"/>
  <c r="C35" i="22"/>
  <c r="C34" i="22"/>
  <c r="C33" i="22"/>
  <c r="C32" i="22"/>
  <c r="C31" i="22"/>
  <c r="A110" i="22" s="1"/>
  <c r="C110" i="22" s="1"/>
  <c r="B12" i="22"/>
  <c r="B11" i="22"/>
  <c r="E44" i="21" a="1"/>
  <c r="E44" i="21"/>
  <c r="E45" i="21" a="1"/>
  <c r="E45" i="21"/>
  <c r="E46" i="21" a="1"/>
  <c r="E46" i="21"/>
  <c r="E47" i="21" a="1"/>
  <c r="E47" i="21"/>
  <c r="E48" i="21" a="1"/>
  <c r="E48" i="21"/>
  <c r="E49" i="21" a="1"/>
  <c r="E49" i="21"/>
  <c r="E50" i="21" a="1"/>
  <c r="E50" i="21"/>
  <c r="E51" i="21" a="1"/>
  <c r="E51" i="21"/>
  <c r="E39" i="21"/>
  <c r="E38" i="21"/>
  <c r="E37" i="21"/>
  <c r="E36" i="21"/>
  <c r="E35" i="21"/>
  <c r="E34" i="21"/>
  <c r="E33" i="21"/>
  <c r="E32" i="21"/>
  <c r="E31" i="21"/>
  <c r="E30" i="21"/>
  <c r="C11" i="21" a="1"/>
  <c r="C11" i="21"/>
  <c r="C7" i="21" a="1"/>
  <c r="C7" i="21"/>
  <c r="C5" i="21"/>
  <c r="B5" i="21"/>
  <c r="E46" i="20"/>
  <c r="E48" i="20"/>
  <c r="E54" i="20"/>
  <c r="G26" i="20"/>
  <c r="E55" i="20" s="1"/>
  <c r="G24" i="20"/>
  <c r="G18" i="20"/>
  <c r="E50" i="20" s="1"/>
  <c r="H58" i="19"/>
  <c r="H59" i="19"/>
  <c r="H60" i="19"/>
  <c r="H61" i="19"/>
  <c r="H62" i="19"/>
  <c r="H63" i="19"/>
  <c r="H64" i="19"/>
  <c r="H65" i="19"/>
  <c r="B46" i="19"/>
  <c r="B49" i="19"/>
  <c r="B51" i="19"/>
  <c r="B53" i="19"/>
  <c r="B54" i="19"/>
  <c r="B55" i="19"/>
  <c r="G4" i="19" a="1"/>
  <c r="G4" i="19"/>
  <c r="H4" i="19" a="1"/>
  <c r="H4" i="19"/>
  <c r="G44" i="18"/>
  <c r="G45" i="18"/>
  <c r="G46" i="18"/>
  <c r="G47" i="18"/>
  <c r="G48" i="18"/>
  <c r="D32" i="18"/>
  <c r="D33" i="18"/>
  <c r="D34" i="18"/>
  <c r="D35" i="18"/>
  <c r="D36" i="18"/>
  <c r="D37" i="18"/>
  <c r="D38" i="18"/>
  <c r="D39" i="18"/>
  <c r="D40" i="18"/>
  <c r="D41" i="18"/>
  <c r="D31" i="17"/>
  <c r="D32" i="17"/>
  <c r="D33" i="17"/>
  <c r="D34" i="17"/>
  <c r="D35" i="17"/>
  <c r="D36" i="17"/>
  <c r="D37" i="17"/>
  <c r="D38" i="17"/>
  <c r="D39" i="17"/>
  <c r="D40" i="17"/>
  <c r="B59" i="16"/>
  <c r="B58" i="16"/>
  <c r="B57" i="16"/>
  <c r="B56" i="16"/>
  <c r="D71" i="15"/>
  <c r="D70" i="15"/>
  <c r="D69" i="15"/>
  <c r="D68" i="15"/>
  <c r="D67" i="15"/>
  <c r="B71" i="15"/>
  <c r="B70" i="15"/>
  <c r="B69" i="15"/>
  <c r="B68" i="15"/>
  <c r="B67" i="15"/>
  <c r="C55" i="13"/>
  <c r="B55" i="13"/>
  <c r="C54" i="13"/>
  <c r="C53" i="13"/>
  <c r="C52" i="13"/>
  <c r="C51" i="13"/>
  <c r="B54" i="13"/>
  <c r="B53" i="13"/>
  <c r="B52" i="13"/>
  <c r="B51" i="13"/>
  <c r="B71" i="12"/>
  <c r="B66" i="12"/>
  <c r="B189" i="11"/>
  <c r="E157" i="11" a="1"/>
  <c r="E157" i="11"/>
  <c r="E158" i="11" a="1"/>
  <c r="E158" i="11"/>
  <c r="E159" i="11" a="1"/>
  <c r="E159" i="11"/>
  <c r="E160" i="11" a="1"/>
  <c r="E160" i="11"/>
  <c r="E161" i="11" a="1"/>
  <c r="E161" i="11"/>
  <c r="E162" i="11" a="1"/>
  <c r="E162" i="11"/>
  <c r="B169" i="11"/>
  <c r="C169" i="11"/>
  <c r="F169" i="11"/>
  <c r="B170" i="11"/>
  <c r="C170" i="11"/>
  <c r="F170" i="11"/>
  <c r="B171" i="11"/>
  <c r="C171" i="11"/>
  <c r="F171" i="11"/>
  <c r="B172" i="11"/>
  <c r="C172" i="11"/>
  <c r="F172" i="11"/>
  <c r="F173" i="11"/>
  <c r="B174" i="11"/>
  <c r="C174" i="11"/>
  <c r="B179" i="11"/>
  <c r="F179" i="11"/>
  <c r="B180" i="11"/>
  <c r="F180" i="11"/>
  <c r="B181" i="11"/>
  <c r="F181" i="11"/>
  <c r="B182" i="11"/>
  <c r="F182" i="11"/>
  <c r="B183" i="11"/>
  <c r="F183" i="11"/>
  <c r="B22" i="10"/>
  <c r="B23" i="10"/>
  <c r="B24" i="10"/>
  <c r="B25" i="10"/>
  <c r="B26" i="10"/>
  <c r="B27" i="10"/>
  <c r="B29" i="10"/>
  <c r="B104" i="5"/>
  <c r="B105" i="5"/>
  <c r="B106" i="5"/>
  <c r="B107" i="5"/>
  <c r="B108" i="5"/>
  <c r="B109" i="5"/>
  <c r="B111" i="5"/>
  <c r="B18" i="9"/>
  <c r="B17" i="9"/>
  <c r="B25" i="8"/>
  <c r="B26" i="8"/>
  <c r="B27" i="8"/>
  <c r="B28" i="8"/>
  <c r="B29" i="8"/>
  <c r="B5" i="5"/>
  <c r="E14" i="5"/>
  <c r="B7" i="33"/>
  <c r="B11" i="5"/>
  <c r="E16" i="5"/>
  <c r="E15" i="5"/>
  <c r="E17" i="5" s="1"/>
  <c r="E11" i="5"/>
  <c r="E10" i="5"/>
  <c r="E9" i="5"/>
  <c r="E8" i="5"/>
  <c r="E7" i="5"/>
  <c r="E6" i="5"/>
  <c r="E5" i="5"/>
  <c r="B27" i="5"/>
  <c r="E62" i="5" s="1"/>
  <c r="B26" i="5"/>
  <c r="B8" i="30" s="1"/>
  <c r="B25" i="5"/>
  <c r="B24" i="5"/>
  <c r="B8" i="5"/>
  <c r="B8" i="35" l="1"/>
  <c r="B6" i="30"/>
  <c r="G27" i="26"/>
  <c r="G28" i="26" s="1"/>
  <c r="G29" i="26" s="1"/>
  <c r="B20" i="26"/>
  <c r="B20" i="25"/>
  <c r="F25" i="12"/>
  <c r="B7" i="35"/>
  <c r="B6" i="33"/>
  <c r="B6" i="32"/>
  <c r="B6" i="31"/>
  <c r="B6" i="28"/>
  <c r="B10" i="18"/>
  <c r="B11" i="17"/>
  <c r="B8" i="16"/>
  <c r="B4" i="36"/>
  <c r="B5" i="35"/>
  <c r="B5" i="34"/>
  <c r="B5" i="33"/>
  <c r="B5" i="32"/>
  <c r="B5" i="31"/>
  <c r="B5" i="30"/>
  <c r="B5" i="29"/>
  <c r="B5" i="28"/>
  <c r="B19" i="26"/>
  <c r="I4" i="26"/>
  <c r="I5" i="26"/>
  <c r="I6" i="26"/>
  <c r="I7" i="26"/>
  <c r="I8" i="26"/>
  <c r="I9" i="26"/>
  <c r="L9" i="26" s="1"/>
  <c r="I10" i="26"/>
  <c r="I11" i="26"/>
  <c r="L11" i="26" s="1"/>
  <c r="I12" i="26"/>
  <c r="I13" i="26"/>
  <c r="B19" i="25"/>
  <c r="B19" i="24"/>
  <c r="B23" i="24" s="1"/>
  <c r="B5" i="22"/>
  <c r="G56" i="21"/>
  <c r="C10" i="21"/>
  <c r="B10" i="21"/>
  <c r="G23" i="20"/>
  <c r="G22" i="20"/>
  <c r="E51" i="20" s="1"/>
  <c r="G20" i="20"/>
  <c r="E47" i="20" s="1"/>
  <c r="G19" i="20"/>
  <c r="G17" i="20"/>
  <c r="B47" i="19"/>
  <c r="B5" i="18"/>
  <c r="B5" i="17"/>
  <c r="B5" i="16"/>
  <c r="G5" i="15"/>
  <c r="G6" i="15" s="1"/>
  <c r="G7" i="15" s="1"/>
  <c r="B51" i="14"/>
  <c r="I25" i="14"/>
  <c r="I24" i="14"/>
  <c r="I23" i="14"/>
  <c r="I22" i="14"/>
  <c r="I21" i="14"/>
  <c r="I20" i="14"/>
  <c r="I19" i="14"/>
  <c r="I18" i="14"/>
  <c r="I17" i="14"/>
  <c r="I16" i="14"/>
  <c r="I15" i="14"/>
  <c r="B5" i="14"/>
  <c r="G5" i="13"/>
  <c r="G6" i="13" s="1"/>
  <c r="G7" i="13" s="1"/>
  <c r="B45" i="36"/>
  <c r="B44" i="36"/>
  <c r="B10" i="36"/>
  <c r="B9" i="36"/>
  <c r="B8" i="36"/>
  <c r="B7" i="36"/>
  <c r="B38" i="36" s="1"/>
  <c r="B6" i="36"/>
  <c r="I38" i="35"/>
  <c r="H38" i="35"/>
  <c r="G38" i="35"/>
  <c r="F38" i="35"/>
  <c r="E38" i="35"/>
  <c r="J38" i="35" s="1"/>
  <c r="K38" i="35" s="1"/>
  <c r="I37" i="35"/>
  <c r="H37" i="35"/>
  <c r="G37" i="35"/>
  <c r="F37" i="35"/>
  <c r="E37" i="35"/>
  <c r="J37" i="35" s="1"/>
  <c r="K37" i="35" s="1"/>
  <c r="I36" i="35"/>
  <c r="H36" i="35"/>
  <c r="G36" i="35"/>
  <c r="F36" i="35"/>
  <c r="E36" i="35"/>
  <c r="J36" i="35" s="1"/>
  <c r="K36" i="35" s="1"/>
  <c r="I35" i="35"/>
  <c r="H35" i="35"/>
  <c r="G35" i="35"/>
  <c r="F35" i="35"/>
  <c r="E35" i="35"/>
  <c r="J35" i="35" s="1"/>
  <c r="K35" i="35" s="1"/>
  <c r="I34" i="35"/>
  <c r="H34" i="35"/>
  <c r="G34" i="35"/>
  <c r="F34" i="35"/>
  <c r="E34" i="35"/>
  <c r="J34" i="35" s="1"/>
  <c r="K34" i="35" s="1"/>
  <c r="I33" i="35"/>
  <c r="H33" i="35"/>
  <c r="G33" i="35"/>
  <c r="F33" i="35"/>
  <c r="E33" i="35"/>
  <c r="J33" i="35" s="1"/>
  <c r="K33" i="35" s="1"/>
  <c r="I32" i="35"/>
  <c r="H32" i="35"/>
  <c r="G32" i="35"/>
  <c r="F32" i="35"/>
  <c r="E32" i="35"/>
  <c r="J32" i="35" s="1"/>
  <c r="K32" i="35" s="1"/>
  <c r="B77" i="35"/>
  <c r="B76" i="35"/>
  <c r="B75" i="35"/>
  <c r="B74" i="35"/>
  <c r="B73" i="35"/>
  <c r="I31" i="35"/>
  <c r="H31" i="35"/>
  <c r="G31" i="35"/>
  <c r="F31" i="35"/>
  <c r="E31" i="35"/>
  <c r="J31" i="35" s="1"/>
  <c r="B7" i="21"/>
  <c r="I68" i="22"/>
  <c r="C63" i="22"/>
  <c r="C64" i="22"/>
  <c r="B63" i="22"/>
  <c r="D63" i="22" s="1"/>
  <c r="B64" i="22"/>
  <c r="D64" i="22" s="1"/>
  <c r="C61" i="22"/>
  <c r="C62" i="22"/>
  <c r="B61" i="22"/>
  <c r="D61" i="22" s="1"/>
  <c r="B62" i="22"/>
  <c r="D62" i="22" s="1"/>
  <c r="C59" i="22"/>
  <c r="C60" i="22"/>
  <c r="B59" i="22"/>
  <c r="D59" i="22" s="1"/>
  <c r="B60" i="22"/>
  <c r="D60" i="22" s="1"/>
  <c r="C57" i="22"/>
  <c r="C58" i="22"/>
  <c r="B57" i="22"/>
  <c r="D57" i="22" s="1"/>
  <c r="E57" i="22" s="1"/>
  <c r="G57" i="22" s="1"/>
  <c r="H57" i="22" s="1"/>
  <c r="B58" i="22"/>
  <c r="D58" i="22" s="1"/>
  <c r="I39" i="22"/>
  <c r="I40" i="22"/>
  <c r="K39" i="22"/>
  <c r="L39" i="22"/>
  <c r="I37" i="22"/>
  <c r="I38" i="22"/>
  <c r="K37" i="22"/>
  <c r="L37" i="22"/>
  <c r="I35" i="22"/>
  <c r="I36" i="22"/>
  <c r="K35" i="22"/>
  <c r="L35" i="22"/>
  <c r="I33" i="22"/>
  <c r="I34" i="22"/>
  <c r="K33" i="22"/>
  <c r="L33" i="22"/>
  <c r="I31" i="22"/>
  <c r="B107" i="22" s="1"/>
  <c r="B110" i="22" s="1"/>
  <c r="I32" i="22"/>
  <c r="K31" i="22"/>
  <c r="L31" i="22"/>
  <c r="B39" i="22"/>
  <c r="B40" i="22"/>
  <c r="D39" i="22"/>
  <c r="E39" i="22"/>
  <c r="B37" i="22"/>
  <c r="B38" i="22"/>
  <c r="D37" i="22"/>
  <c r="E37" i="22"/>
  <c r="B35" i="22"/>
  <c r="B36" i="22"/>
  <c r="D35" i="22"/>
  <c r="E35" i="22"/>
  <c r="B33" i="22"/>
  <c r="B34" i="22"/>
  <c r="D33" i="22"/>
  <c r="E33" i="22"/>
  <c r="B31" i="22"/>
  <c r="A109" i="22" s="1"/>
  <c r="B32" i="22"/>
  <c r="D31" i="22"/>
  <c r="E31" i="22"/>
  <c r="B8" i="21"/>
  <c r="B9" i="21"/>
  <c r="B56" i="21" s="1"/>
  <c r="C55" i="9"/>
  <c r="C54" i="9"/>
  <c r="B45" i="9"/>
  <c r="G24" i="24"/>
  <c r="I24" i="24" s="1"/>
  <c r="J24" i="24" s="1"/>
  <c r="D19" i="32"/>
  <c r="B31" i="9"/>
  <c r="F31" i="9" s="1"/>
  <c r="B30" i="9"/>
  <c r="B72" i="5"/>
  <c r="E65" i="5"/>
  <c r="B42" i="8" s="1"/>
  <c r="B62" i="5"/>
  <c r="B64" i="5"/>
  <c r="B67" i="12"/>
  <c r="B190" i="11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B56" i="9"/>
  <c r="B55" i="9"/>
  <c r="B54" i="9"/>
  <c r="J11" i="9"/>
  <c r="J10" i="9"/>
  <c r="J9" i="9"/>
  <c r="J8" i="9"/>
  <c r="J7" i="9"/>
  <c r="J6" i="9"/>
  <c r="J5" i="9"/>
  <c r="J4" i="9"/>
  <c r="J3" i="9"/>
  <c r="J2" i="9"/>
  <c r="B52" i="8"/>
  <c r="B53" i="8"/>
  <c r="B54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J2" i="8"/>
  <c r="E76" i="5"/>
  <c r="E74" i="5"/>
  <c r="J11" i="7"/>
  <c r="J10" i="7"/>
  <c r="J9" i="7"/>
  <c r="J8" i="7"/>
  <c r="J7" i="7"/>
  <c r="J6" i="7"/>
  <c r="J5" i="7"/>
  <c r="J4" i="7"/>
  <c r="J3" i="7"/>
  <c r="J2" i="7"/>
  <c r="E64" i="5"/>
  <c r="B66" i="5"/>
  <c r="B67" i="5"/>
  <c r="F39" i="8" s="1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J159" i="6"/>
  <c r="I159" i="6"/>
  <c r="J158" i="6"/>
  <c r="I158" i="6"/>
  <c r="J157" i="6"/>
  <c r="I157" i="6"/>
  <c r="J156" i="6"/>
  <c r="I156" i="6"/>
  <c r="J155" i="6"/>
  <c r="I155" i="6"/>
  <c r="J154" i="6"/>
  <c r="I154" i="6"/>
  <c r="J153" i="6"/>
  <c r="I153" i="6"/>
  <c r="J152" i="6"/>
  <c r="I152" i="6"/>
  <c r="J151" i="6"/>
  <c r="I151" i="6"/>
  <c r="J150" i="6"/>
  <c r="I150" i="6"/>
  <c r="J149" i="6"/>
  <c r="I149" i="6"/>
  <c r="J148" i="6"/>
  <c r="I148" i="6"/>
  <c r="J147" i="6"/>
  <c r="I147" i="6"/>
  <c r="J146" i="6"/>
  <c r="I146" i="6"/>
  <c r="J145" i="6"/>
  <c r="I145" i="6"/>
  <c r="J144" i="6"/>
  <c r="I144" i="6"/>
  <c r="J143" i="6"/>
  <c r="I143" i="6"/>
  <c r="J142" i="6"/>
  <c r="I142" i="6"/>
  <c r="J141" i="6"/>
  <c r="I141" i="6"/>
  <c r="J140" i="6"/>
  <c r="I140" i="6"/>
  <c r="J139" i="6"/>
  <c r="I139" i="6"/>
  <c r="J138" i="6"/>
  <c r="I138" i="6"/>
  <c r="J137" i="6"/>
  <c r="I137" i="6"/>
  <c r="J136" i="6"/>
  <c r="I136" i="6"/>
  <c r="J135" i="6"/>
  <c r="I135" i="6"/>
  <c r="J134" i="6"/>
  <c r="I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J125" i="6"/>
  <c r="I125" i="6"/>
  <c r="J124" i="6"/>
  <c r="I124" i="6"/>
  <c r="J123" i="6"/>
  <c r="I123" i="6"/>
  <c r="J122" i="6"/>
  <c r="I122" i="6"/>
  <c r="J121" i="6"/>
  <c r="I121" i="6"/>
  <c r="J120" i="6"/>
  <c r="I120" i="6"/>
  <c r="J119" i="6"/>
  <c r="I119" i="6"/>
  <c r="J118" i="6"/>
  <c r="I118" i="6"/>
  <c r="J117" i="6"/>
  <c r="I117" i="6"/>
  <c r="J116" i="6"/>
  <c r="I116" i="6"/>
  <c r="J115" i="6"/>
  <c r="I115" i="6"/>
  <c r="J114" i="6"/>
  <c r="I114" i="6"/>
  <c r="J113" i="6"/>
  <c r="I113" i="6"/>
  <c r="J112" i="6"/>
  <c r="I112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J2" i="6"/>
  <c r="I2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J80" i="6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H14" i="12" l="1"/>
  <c r="D16" i="32"/>
  <c r="G19" i="24"/>
  <c r="I19" i="24" s="1"/>
  <c r="H15" i="12"/>
  <c r="D17" i="32"/>
  <c r="G20" i="24"/>
  <c r="I20" i="24" s="1"/>
  <c r="J20" i="24" s="1"/>
  <c r="H16" i="12"/>
  <c r="D18" i="32"/>
  <c r="G21" i="24"/>
  <c r="I21" i="24" s="1"/>
  <c r="J21" i="24" s="1"/>
  <c r="E19" i="32"/>
  <c r="H18" i="12"/>
  <c r="G22" i="24"/>
  <c r="I22" i="24" s="1"/>
  <c r="J22" i="24" s="1"/>
  <c r="H17" i="12"/>
  <c r="G23" i="24"/>
  <c r="I23" i="24" s="1"/>
  <c r="J23" i="24" s="1"/>
  <c r="F45" i="36"/>
  <c r="F43" i="36"/>
  <c r="F42" i="36"/>
  <c r="F41" i="36"/>
  <c r="F40" i="36"/>
  <c r="F44" i="36" s="1"/>
  <c r="F38" i="36"/>
  <c r="K34" i="36"/>
  <c r="J34" i="36"/>
  <c r="K33" i="36"/>
  <c r="J33" i="36"/>
  <c r="K32" i="36"/>
  <c r="J32" i="36"/>
  <c r="K31" i="36"/>
  <c r="J31" i="36"/>
  <c r="K30" i="36"/>
  <c r="J30" i="36"/>
  <c r="K29" i="36"/>
  <c r="J29" i="36"/>
  <c r="K28" i="36"/>
  <c r="J28" i="36"/>
  <c r="K27" i="36"/>
  <c r="J27" i="36"/>
  <c r="B29" i="36"/>
  <c r="I23" i="36"/>
  <c r="B30" i="36" s="1"/>
  <c r="B34" i="36" s="1"/>
  <c r="I19" i="36"/>
  <c r="I18" i="36"/>
  <c r="I17" i="36"/>
  <c r="I16" i="36"/>
  <c r="I15" i="36"/>
  <c r="H23" i="36"/>
  <c r="H19" i="36"/>
  <c r="H18" i="36"/>
  <c r="H17" i="36"/>
  <c r="H16" i="36"/>
  <c r="H15" i="36"/>
  <c r="B12" i="36"/>
  <c r="B11" i="36"/>
  <c r="B39" i="36"/>
  <c r="I20" i="36"/>
  <c r="G34" i="36"/>
  <c r="L34" i="36" s="1"/>
  <c r="G33" i="36"/>
  <c r="L33" i="36" s="1"/>
  <c r="G32" i="36"/>
  <c r="L32" i="36" s="1"/>
  <c r="G31" i="36"/>
  <c r="L31" i="36" s="1"/>
  <c r="G30" i="36"/>
  <c r="L30" i="36" s="1"/>
  <c r="G29" i="36"/>
  <c r="L29" i="36" s="1"/>
  <c r="G28" i="36"/>
  <c r="L28" i="36" s="1"/>
  <c r="G27" i="36"/>
  <c r="L27" i="36" s="1"/>
  <c r="G41" i="14"/>
  <c r="H41" i="14" s="1"/>
  <c r="G40" i="14"/>
  <c r="H40" i="14" s="1"/>
  <c r="G39" i="14"/>
  <c r="H39" i="14" s="1"/>
  <c r="G38" i="14"/>
  <c r="H38" i="14" s="1"/>
  <c r="G37" i="14"/>
  <c r="H37" i="14" s="1"/>
  <c r="G36" i="14"/>
  <c r="H36" i="14" s="1"/>
  <c r="B6" i="14"/>
  <c r="B7" i="14" s="1"/>
  <c r="K15" i="14"/>
  <c r="J15" i="14"/>
  <c r="K16" i="14"/>
  <c r="J16" i="14"/>
  <c r="K17" i="14"/>
  <c r="J17" i="14"/>
  <c r="K18" i="14"/>
  <c r="J18" i="14"/>
  <c r="K19" i="14"/>
  <c r="J19" i="14"/>
  <c r="K20" i="14"/>
  <c r="J20" i="14"/>
  <c r="K21" i="14"/>
  <c r="J21" i="14"/>
  <c r="K22" i="14"/>
  <c r="J22" i="14"/>
  <c r="K23" i="14"/>
  <c r="J23" i="14"/>
  <c r="K24" i="14"/>
  <c r="J24" i="14"/>
  <c r="K25" i="14"/>
  <c r="J25" i="14"/>
  <c r="D77" i="15"/>
  <c r="B77" i="15"/>
  <c r="B76" i="15"/>
  <c r="B75" i="15"/>
  <c r="K63" i="15"/>
  <c r="K62" i="15"/>
  <c r="K61" i="15"/>
  <c r="K60" i="15"/>
  <c r="K59" i="15"/>
  <c r="C70" i="15" s="1"/>
  <c r="K58" i="15"/>
  <c r="K57" i="15"/>
  <c r="K56" i="15"/>
  <c r="K55" i="15"/>
  <c r="K54" i="15"/>
  <c r="K53" i="15"/>
  <c r="K52" i="15"/>
  <c r="K51" i="15"/>
  <c r="K50" i="15"/>
  <c r="K49" i="15"/>
  <c r="C69" i="15" s="1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C68" i="15" s="1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G9" i="15"/>
  <c r="D76" i="15" s="1"/>
  <c r="G8" i="15"/>
  <c r="D75" i="15" s="1"/>
  <c r="L50" i="16"/>
  <c r="L49" i="16"/>
  <c r="L48" i="16"/>
  <c r="L47" i="16"/>
  <c r="L46" i="16"/>
  <c r="L45" i="16"/>
  <c r="L44" i="16"/>
  <c r="L43" i="16"/>
  <c r="L42" i="16"/>
  <c r="E52" i="16"/>
  <c r="F52" i="16" s="1"/>
  <c r="E51" i="16"/>
  <c r="F51" i="16" s="1"/>
  <c r="E50" i="16"/>
  <c r="F50" i="16" s="1"/>
  <c r="E49" i="16"/>
  <c r="F49" i="16" s="1"/>
  <c r="E48" i="16"/>
  <c r="F48" i="16" s="1"/>
  <c r="E47" i="16"/>
  <c r="F47" i="16" s="1"/>
  <c r="E46" i="16"/>
  <c r="F46" i="16" s="1"/>
  <c r="E45" i="16"/>
  <c r="F45" i="16" s="1"/>
  <c r="E44" i="16"/>
  <c r="F44" i="16" s="1"/>
  <c r="E43" i="16"/>
  <c r="F43" i="16" s="1"/>
  <c r="E42" i="16"/>
  <c r="F42" i="16" s="1"/>
  <c r="B62" i="16" s="1"/>
  <c r="E38" i="16"/>
  <c r="F38" i="16" s="1"/>
  <c r="E37" i="16"/>
  <c r="F37" i="16" s="1"/>
  <c r="E36" i="16"/>
  <c r="F36" i="16" s="1"/>
  <c r="E35" i="16"/>
  <c r="F35" i="16" s="1"/>
  <c r="E34" i="16"/>
  <c r="F34" i="16" s="1"/>
  <c r="E33" i="16"/>
  <c r="F33" i="16" s="1"/>
  <c r="E32" i="16"/>
  <c r="F32" i="16" s="1"/>
  <c r="E31" i="16"/>
  <c r="F31" i="16" s="1"/>
  <c r="E30" i="16"/>
  <c r="F30" i="16" s="1"/>
  <c r="E29" i="16"/>
  <c r="F29" i="16" s="1"/>
  <c r="E28" i="16"/>
  <c r="F28" i="16" s="1"/>
  <c r="B61" i="16" s="1"/>
  <c r="J24" i="16"/>
  <c r="J23" i="16"/>
  <c r="J22" i="16"/>
  <c r="J21" i="16"/>
  <c r="J20" i="16"/>
  <c r="J19" i="16"/>
  <c r="J18" i="16"/>
  <c r="J17" i="16"/>
  <c r="J16" i="16"/>
  <c r="J15" i="16"/>
  <c r="J14" i="16"/>
  <c r="B6" i="16"/>
  <c r="B7" i="16" s="1"/>
  <c r="B10" i="16" s="1"/>
  <c r="E31" i="17"/>
  <c r="F31" i="17" s="1"/>
  <c r="E32" i="17"/>
  <c r="F32" i="17" s="1"/>
  <c r="E33" i="17"/>
  <c r="F33" i="17" s="1"/>
  <c r="E34" i="17"/>
  <c r="F34" i="17" s="1"/>
  <c r="E35" i="17"/>
  <c r="F35" i="17" s="1"/>
  <c r="E36" i="17"/>
  <c r="F36" i="17" s="1"/>
  <c r="E37" i="17"/>
  <c r="F37" i="17" s="1"/>
  <c r="E38" i="17"/>
  <c r="F38" i="17" s="1"/>
  <c r="E39" i="17"/>
  <c r="F39" i="17" s="1"/>
  <c r="E40" i="17"/>
  <c r="F40" i="17" s="1"/>
  <c r="J18" i="17"/>
  <c r="J19" i="17"/>
  <c r="J20" i="17"/>
  <c r="J21" i="17"/>
  <c r="J22" i="17"/>
  <c r="J23" i="17"/>
  <c r="J24" i="17"/>
  <c r="J25" i="17"/>
  <c r="J26" i="17"/>
  <c r="J27" i="17"/>
  <c r="B6" i="17"/>
  <c r="E32" i="18"/>
  <c r="F32" i="18" s="1"/>
  <c r="E33" i="18"/>
  <c r="F33" i="18" s="1"/>
  <c r="E34" i="18"/>
  <c r="F34" i="18" s="1"/>
  <c r="E35" i="18"/>
  <c r="F35" i="18" s="1"/>
  <c r="E36" i="18"/>
  <c r="F36" i="18" s="1"/>
  <c r="E37" i="18"/>
  <c r="F37" i="18" s="1"/>
  <c r="E38" i="18"/>
  <c r="F38" i="18" s="1"/>
  <c r="E39" i="18"/>
  <c r="F39" i="18" s="1"/>
  <c r="E40" i="18"/>
  <c r="F40" i="18" s="1"/>
  <c r="E41" i="18"/>
  <c r="F41" i="18" s="1"/>
  <c r="J19" i="18"/>
  <c r="J20" i="18"/>
  <c r="J21" i="18"/>
  <c r="J22" i="18"/>
  <c r="J23" i="18"/>
  <c r="J24" i="18"/>
  <c r="J25" i="18"/>
  <c r="J26" i="18"/>
  <c r="J27" i="18"/>
  <c r="J28" i="18"/>
  <c r="B6" i="18"/>
  <c r="B7" i="18"/>
  <c r="B8" i="18"/>
  <c r="B48" i="19"/>
  <c r="B50" i="19"/>
  <c r="B52" i="19"/>
  <c r="B59" i="21"/>
  <c r="F51" i="21"/>
  <c r="F50" i="21"/>
  <c r="F49" i="21"/>
  <c r="F48" i="21"/>
  <c r="F47" i="21"/>
  <c r="F46" i="21"/>
  <c r="F45" i="21"/>
  <c r="F44" i="21"/>
  <c r="B61" i="21" s="1"/>
  <c r="F39" i="21"/>
  <c r="F38" i="21"/>
  <c r="F37" i="21"/>
  <c r="F36" i="21"/>
  <c r="F35" i="21"/>
  <c r="F34" i="21"/>
  <c r="F33" i="21"/>
  <c r="F32" i="21"/>
  <c r="F31" i="21"/>
  <c r="F30" i="21"/>
  <c r="B60" i="21" s="1"/>
  <c r="H19" i="21"/>
  <c r="H20" i="21"/>
  <c r="H21" i="21"/>
  <c r="H22" i="21"/>
  <c r="H23" i="21"/>
  <c r="H24" i="21"/>
  <c r="H25" i="21"/>
  <c r="G14" i="21"/>
  <c r="I14" i="21" s="1"/>
  <c r="B11" i="21"/>
  <c r="I26" i="22"/>
  <c r="I25" i="22"/>
  <c r="I24" i="22"/>
  <c r="I23" i="22"/>
  <c r="I22" i="22"/>
  <c r="I21" i="22"/>
  <c r="I20" i="22"/>
  <c r="I19" i="22"/>
  <c r="I18" i="22"/>
  <c r="I17" i="22"/>
  <c r="B27" i="24"/>
  <c r="E45" i="24" s="1"/>
  <c r="B25" i="24"/>
  <c r="B26" i="24" s="1"/>
  <c r="B26" i="25"/>
  <c r="B25" i="25"/>
  <c r="B23" i="25"/>
  <c r="B28" i="26"/>
  <c r="L13" i="26"/>
  <c r="D28" i="26" s="1"/>
  <c r="B27" i="26"/>
  <c r="L12" i="26"/>
  <c r="D27" i="26" s="1"/>
  <c r="G21" i="26"/>
  <c r="L10" i="26"/>
  <c r="G23" i="26"/>
  <c r="G20" i="26"/>
  <c r="L8" i="26"/>
  <c r="B26" i="26"/>
  <c r="L7" i="26"/>
  <c r="D26" i="26" s="1"/>
  <c r="B25" i="26"/>
  <c r="L6" i="26"/>
  <c r="D25" i="26" s="1"/>
  <c r="B24" i="26"/>
  <c r="L5" i="26"/>
  <c r="D24" i="26" s="1"/>
  <c r="G39" i="26"/>
  <c r="G22" i="26"/>
  <c r="G19" i="26"/>
  <c r="B23" i="26"/>
  <c r="L4" i="26"/>
  <c r="D23" i="26" s="1"/>
  <c r="G13" i="28"/>
  <c r="G14" i="28"/>
  <c r="G15" i="28"/>
  <c r="G16" i="28"/>
  <c r="G17" i="28"/>
  <c r="G18" i="28"/>
  <c r="G19" i="28"/>
  <c r="G20" i="28"/>
  <c r="G21" i="28"/>
  <c r="G22" i="28"/>
  <c r="G23" i="28"/>
  <c r="G24" i="28"/>
  <c r="H16" i="29"/>
  <c r="H17" i="29"/>
  <c r="H18" i="29"/>
  <c r="H19" i="29"/>
  <c r="H20" i="29"/>
  <c r="H21" i="29"/>
  <c r="H22" i="29"/>
  <c r="H23" i="29"/>
  <c r="H24" i="29"/>
  <c r="H25" i="29"/>
  <c r="G18" i="30"/>
  <c r="H18" i="30" s="1"/>
  <c r="G19" i="30"/>
  <c r="H19" i="30" s="1"/>
  <c r="G20" i="30"/>
  <c r="H20" i="30" s="1"/>
  <c r="G21" i="30"/>
  <c r="H21" i="30" s="1"/>
  <c r="G22" i="30"/>
  <c r="H22" i="30" s="1"/>
  <c r="G23" i="30"/>
  <c r="H23" i="30" s="1"/>
  <c r="E29" i="31"/>
  <c r="E30" i="31"/>
  <c r="E31" i="31"/>
  <c r="E32" i="31"/>
  <c r="E33" i="31"/>
  <c r="G16" i="31"/>
  <c r="G17" i="31"/>
  <c r="G18" i="31"/>
  <c r="G19" i="31"/>
  <c r="G20" i="31"/>
  <c r="G21" i="31"/>
  <c r="G22" i="31"/>
  <c r="G23" i="31"/>
  <c r="G24" i="31"/>
  <c r="G25" i="31"/>
  <c r="G16" i="32"/>
  <c r="G17" i="32"/>
  <c r="G18" i="32"/>
  <c r="G19" i="32"/>
  <c r="G20" i="32"/>
  <c r="G21" i="32"/>
  <c r="G22" i="32"/>
  <c r="G23" i="32"/>
  <c r="G20" i="33"/>
  <c r="G21" i="33"/>
  <c r="G22" i="33"/>
  <c r="G23" i="33"/>
  <c r="G24" i="33"/>
  <c r="G25" i="33"/>
  <c r="G26" i="33"/>
  <c r="G27" i="33"/>
  <c r="G28" i="33"/>
  <c r="G29" i="33"/>
  <c r="B43" i="31"/>
  <c r="C43" i="31" s="1"/>
  <c r="B41" i="32"/>
  <c r="C41" i="32" s="1"/>
  <c r="C28" i="32"/>
  <c r="D28" i="32" s="1"/>
  <c r="E27" i="30"/>
  <c r="E28" i="30"/>
  <c r="E29" i="30"/>
  <c r="E30" i="30"/>
  <c r="E31" i="30"/>
  <c r="E32" i="30"/>
  <c r="E33" i="30"/>
  <c r="E34" i="30"/>
  <c r="B78" i="35"/>
  <c r="K31" i="35"/>
  <c r="E62" i="22"/>
  <c r="F62" i="22"/>
  <c r="E58" i="22"/>
  <c r="F58" i="22"/>
  <c r="E59" i="22"/>
  <c r="F59" i="22"/>
  <c r="E63" i="22"/>
  <c r="F63" i="22"/>
  <c r="E64" i="22"/>
  <c r="F64" i="22"/>
  <c r="E60" i="22"/>
  <c r="F60" i="22"/>
  <c r="I69" i="22"/>
  <c r="I70" i="22"/>
  <c r="B109" i="22"/>
  <c r="C109" i="22"/>
  <c r="E61" i="22"/>
  <c r="F61" i="22"/>
  <c r="F40" i="22"/>
  <c r="B53" i="22"/>
  <c r="M40" i="22"/>
  <c r="C53" i="22"/>
  <c r="M39" i="22"/>
  <c r="C52" i="22"/>
  <c r="F39" i="22"/>
  <c r="B52" i="22"/>
  <c r="M38" i="22"/>
  <c r="C51" i="22"/>
  <c r="F38" i="22"/>
  <c r="B51" i="22"/>
  <c r="M37" i="22"/>
  <c r="C50" i="22"/>
  <c r="F37" i="22"/>
  <c r="B50" i="22"/>
  <c r="F36" i="22"/>
  <c r="B49" i="22"/>
  <c r="M36" i="22"/>
  <c r="C49" i="22"/>
  <c r="E49" i="22" s="1"/>
  <c r="D49" i="22"/>
  <c r="G49" i="22" s="1"/>
  <c r="F35" i="22"/>
  <c r="B48" i="22"/>
  <c r="M35" i="22"/>
  <c r="C48" i="22"/>
  <c r="M34" i="22"/>
  <c r="C47" i="22"/>
  <c r="F34" i="22"/>
  <c r="B47" i="22"/>
  <c r="M33" i="22"/>
  <c r="C46" i="22"/>
  <c r="F33" i="22"/>
  <c r="B46" i="22"/>
  <c r="M32" i="22"/>
  <c r="C45" i="22"/>
  <c r="F32" i="22"/>
  <c r="B45" i="22"/>
  <c r="M31" i="22"/>
  <c r="C44" i="22"/>
  <c r="F31" i="22"/>
  <c r="B44" i="22"/>
  <c r="K40" i="22"/>
  <c r="L40" i="22"/>
  <c r="K38" i="22"/>
  <c r="L38" i="22"/>
  <c r="K36" i="22"/>
  <c r="L36" i="22"/>
  <c r="K34" i="22"/>
  <c r="L34" i="22"/>
  <c r="K32" i="22"/>
  <c r="L32" i="22"/>
  <c r="D40" i="22"/>
  <c r="E40" i="22"/>
  <c r="D38" i="22"/>
  <c r="E38" i="22"/>
  <c r="D36" i="22"/>
  <c r="E36" i="22"/>
  <c r="D34" i="22"/>
  <c r="E34" i="22"/>
  <c r="D32" i="22"/>
  <c r="E32" i="22"/>
  <c r="B57" i="21"/>
  <c r="D50" i="21"/>
  <c r="D51" i="21"/>
  <c r="D48" i="21"/>
  <c r="D49" i="21"/>
  <c r="D46" i="21"/>
  <c r="D47" i="21"/>
  <c r="D44" i="21"/>
  <c r="D45" i="21"/>
  <c r="D38" i="21"/>
  <c r="D39" i="21"/>
  <c r="D36" i="21"/>
  <c r="D37" i="21"/>
  <c r="D34" i="21"/>
  <c r="D35" i="21"/>
  <c r="D32" i="21"/>
  <c r="D33" i="21"/>
  <c r="D30" i="21"/>
  <c r="D31" i="21"/>
  <c r="G9" i="21"/>
  <c r="I9" i="21" s="1"/>
  <c r="G10" i="21"/>
  <c r="I10" i="21" s="1"/>
  <c r="G7" i="21"/>
  <c r="I7" i="21" s="1"/>
  <c r="G8" i="21"/>
  <c r="I8" i="21" s="1"/>
  <c r="G5" i="21"/>
  <c r="I5" i="21" s="1"/>
  <c r="G6" i="21"/>
  <c r="L2" i="7"/>
  <c r="K2" i="7"/>
  <c r="L3" i="7"/>
  <c r="K3" i="7"/>
  <c r="L4" i="7"/>
  <c r="K4" i="7"/>
  <c r="L5" i="7"/>
  <c r="K5" i="7"/>
  <c r="L6" i="7"/>
  <c r="K6" i="7"/>
  <c r="L7" i="7"/>
  <c r="K7" i="7"/>
  <c r="L8" i="7"/>
  <c r="K8" i="7"/>
  <c r="L9" i="7"/>
  <c r="K9" i="7"/>
  <c r="L10" i="7"/>
  <c r="K10" i="7"/>
  <c r="L11" i="7"/>
  <c r="K11" i="7"/>
  <c r="L2" i="8"/>
  <c r="K2" i="8"/>
  <c r="L3" i="8"/>
  <c r="K3" i="8"/>
  <c r="L4" i="8"/>
  <c r="K4" i="8"/>
  <c r="L5" i="8"/>
  <c r="K5" i="8"/>
  <c r="L6" i="8"/>
  <c r="K6" i="8"/>
  <c r="L7" i="8"/>
  <c r="K7" i="8"/>
  <c r="L8" i="8"/>
  <c r="K8" i="8"/>
  <c r="L9" i="8"/>
  <c r="K9" i="8"/>
  <c r="L10" i="8"/>
  <c r="K10" i="8"/>
  <c r="L11" i="8"/>
  <c r="K11" i="8"/>
  <c r="L12" i="8"/>
  <c r="K12" i="8"/>
  <c r="L13" i="8"/>
  <c r="K13" i="8"/>
  <c r="L14" i="8"/>
  <c r="K14" i="8"/>
  <c r="L15" i="8"/>
  <c r="K15" i="8"/>
  <c r="L16" i="8"/>
  <c r="K16" i="8"/>
  <c r="L17" i="8"/>
  <c r="K17" i="8"/>
  <c r="L18" i="8"/>
  <c r="K18" i="8"/>
  <c r="L19" i="8"/>
  <c r="K19" i="8"/>
  <c r="L2" i="9"/>
  <c r="K2" i="9"/>
  <c r="L3" i="9"/>
  <c r="K3" i="9"/>
  <c r="L4" i="9"/>
  <c r="K4" i="9"/>
  <c r="L5" i="9"/>
  <c r="K5" i="9"/>
  <c r="L6" i="9"/>
  <c r="K6" i="9"/>
  <c r="L7" i="9"/>
  <c r="K7" i="9"/>
  <c r="L8" i="9"/>
  <c r="B35" i="9" s="1"/>
  <c r="K8" i="9"/>
  <c r="L9" i="9"/>
  <c r="B34" i="9" s="1"/>
  <c r="K9" i="9"/>
  <c r="L10" i="9"/>
  <c r="K10" i="9"/>
  <c r="L11" i="9"/>
  <c r="B36" i="9" s="1"/>
  <c r="K11" i="9"/>
  <c r="L2" i="10"/>
  <c r="K2" i="10"/>
  <c r="L3" i="10"/>
  <c r="K3" i="10"/>
  <c r="L4" i="10"/>
  <c r="K4" i="10"/>
  <c r="L5" i="10"/>
  <c r="K5" i="10"/>
  <c r="L6" i="10"/>
  <c r="K6" i="10"/>
  <c r="L7" i="10"/>
  <c r="K7" i="10"/>
  <c r="L8" i="10"/>
  <c r="K8" i="10"/>
  <c r="L9" i="10"/>
  <c r="K9" i="10"/>
  <c r="L10" i="10"/>
  <c r="K10" i="10"/>
  <c r="L11" i="10"/>
  <c r="K11" i="10"/>
  <c r="L12" i="10"/>
  <c r="K12" i="10"/>
  <c r="L13" i="10"/>
  <c r="K13" i="10"/>
  <c r="L14" i="10"/>
  <c r="K14" i="10"/>
  <c r="L15" i="10"/>
  <c r="K15" i="10"/>
  <c r="L16" i="10"/>
  <c r="K16" i="10"/>
  <c r="E95" i="12"/>
  <c r="H95" i="12" s="1"/>
  <c r="E94" i="12"/>
  <c r="E93" i="12"/>
  <c r="H93" i="12" s="1"/>
  <c r="E92" i="12"/>
  <c r="E91" i="12"/>
  <c r="H91" i="12" s="1"/>
  <c r="E90" i="12"/>
  <c r="H90" i="12" s="1"/>
  <c r="E89" i="12"/>
  <c r="E88" i="12"/>
  <c r="H88" i="12" s="1"/>
  <c r="E87" i="12"/>
  <c r="H87" i="12" s="1"/>
  <c r="E86" i="12"/>
  <c r="E85" i="12"/>
  <c r="H85" i="12" s="1"/>
  <c r="E84" i="12"/>
  <c r="H84" i="12" s="1"/>
  <c r="E83" i="12"/>
  <c r="H83" i="12" s="1"/>
  <c r="E82" i="12"/>
  <c r="H82" i="12" s="1"/>
  <c r="E81" i="12"/>
  <c r="E80" i="12"/>
  <c r="H80" i="12" s="1"/>
  <c r="E79" i="12"/>
  <c r="H79" i="12" s="1"/>
  <c r="E78" i="12"/>
  <c r="F59" i="12"/>
  <c r="B49" i="12"/>
  <c r="H46" i="12"/>
  <c r="G46" i="12"/>
  <c r="H45" i="12"/>
  <c r="G45" i="12"/>
  <c r="H44" i="12"/>
  <c r="G44" i="12"/>
  <c r="H43" i="12"/>
  <c r="G43" i="12"/>
  <c r="H42" i="12"/>
  <c r="G42" i="12"/>
  <c r="H41" i="12"/>
  <c r="G41" i="12"/>
  <c r="H40" i="12"/>
  <c r="G40" i="12"/>
  <c r="H39" i="12"/>
  <c r="G39" i="12"/>
  <c r="H38" i="12"/>
  <c r="G38" i="12"/>
  <c r="H37" i="12"/>
  <c r="G37" i="12"/>
  <c r="H36" i="12"/>
  <c r="B48" i="12" s="1"/>
  <c r="F48" i="12" s="1"/>
  <c r="B59" i="12" s="1"/>
  <c r="C59" i="12" s="1"/>
  <c r="G36" i="12"/>
  <c r="F29" i="12"/>
  <c r="F28" i="12"/>
  <c r="B29" i="12"/>
  <c r="B28" i="12"/>
  <c r="B27" i="12"/>
  <c r="B26" i="12"/>
  <c r="B25" i="12"/>
  <c r="B31" i="12" s="1"/>
  <c r="B57" i="12" s="1"/>
  <c r="C57" i="12" s="1"/>
  <c r="B18" i="12"/>
  <c r="C18" i="12" s="1"/>
  <c r="B17" i="12"/>
  <c r="C17" i="12" s="1"/>
  <c r="B16" i="12"/>
  <c r="B15" i="12"/>
  <c r="C15" i="12" s="1"/>
  <c r="B14" i="12"/>
  <c r="H9" i="12"/>
  <c r="H8" i="12"/>
  <c r="H7" i="12"/>
  <c r="H6" i="12"/>
  <c r="H5" i="12"/>
  <c r="B10" i="12"/>
  <c r="B7" i="12"/>
  <c r="B5" i="12"/>
  <c r="B39" i="8"/>
  <c r="E60" i="5"/>
  <c r="B65" i="5"/>
  <c r="B60" i="5"/>
  <c r="E22" i="10"/>
  <c r="B120" i="5"/>
  <c r="D104" i="5"/>
  <c r="B113" i="5"/>
  <c r="E23" i="10"/>
  <c r="B121" i="5"/>
  <c r="D105" i="5"/>
  <c r="E24" i="10"/>
  <c r="B122" i="5"/>
  <c r="D106" i="5"/>
  <c r="E25" i="10"/>
  <c r="B123" i="5"/>
  <c r="D107" i="5"/>
  <c r="E26" i="10"/>
  <c r="B124" i="5"/>
  <c r="D108" i="5"/>
  <c r="E27" i="10"/>
  <c r="B125" i="5"/>
  <c r="D109" i="5"/>
  <c r="B46" i="9"/>
  <c r="B48" i="9" s="1"/>
  <c r="E45" i="9"/>
  <c r="L177" i="6"/>
  <c r="K177" i="6"/>
  <c r="L178" i="6"/>
  <c r="K178" i="6"/>
  <c r="L179" i="6"/>
  <c r="K179" i="6"/>
  <c r="L180" i="6"/>
  <c r="K180" i="6"/>
  <c r="L181" i="6"/>
  <c r="K181" i="6"/>
  <c r="L182" i="6"/>
  <c r="K182" i="6"/>
  <c r="L183" i="6"/>
  <c r="K183" i="6"/>
  <c r="L184" i="6"/>
  <c r="K184" i="6"/>
  <c r="L185" i="6"/>
  <c r="K185" i="6"/>
  <c r="L186" i="6"/>
  <c r="K186" i="6"/>
  <c r="L187" i="6"/>
  <c r="K187" i="6"/>
  <c r="L188" i="6"/>
  <c r="K188" i="6"/>
  <c r="L189" i="6"/>
  <c r="K189" i="6"/>
  <c r="L190" i="6"/>
  <c r="K190" i="6"/>
  <c r="L191" i="6"/>
  <c r="K191" i="6"/>
  <c r="L192" i="6"/>
  <c r="K192" i="6"/>
  <c r="L193" i="6"/>
  <c r="K193" i="6"/>
  <c r="L194" i="6"/>
  <c r="K194" i="6"/>
  <c r="J173" i="6"/>
  <c r="I173" i="6"/>
  <c r="J172" i="6"/>
  <c r="I172" i="6"/>
  <c r="J171" i="6"/>
  <c r="I171" i="6"/>
  <c r="J170" i="6"/>
  <c r="I170" i="6"/>
  <c r="J169" i="6"/>
  <c r="I169" i="6"/>
  <c r="J168" i="6"/>
  <c r="I168" i="6"/>
  <c r="J167" i="6"/>
  <c r="I167" i="6"/>
  <c r="J166" i="6"/>
  <c r="I166" i="6"/>
  <c r="J165" i="6"/>
  <c r="I165" i="6"/>
  <c r="J164" i="6"/>
  <c r="I164" i="6"/>
  <c r="J163" i="6"/>
  <c r="I163" i="6"/>
  <c r="J162" i="6"/>
  <c r="I162" i="6"/>
  <c r="J161" i="6"/>
  <c r="I161" i="6"/>
  <c r="J160" i="6"/>
  <c r="I160" i="6"/>
  <c r="R71" i="6"/>
  <c r="Q71" i="6"/>
  <c r="P71" i="6"/>
  <c r="R72" i="6"/>
  <c r="Q72" i="6"/>
  <c r="P72" i="6"/>
  <c r="R73" i="6"/>
  <c r="Q73" i="6"/>
  <c r="P73" i="6"/>
  <c r="R74" i="6"/>
  <c r="Q74" i="6"/>
  <c r="P74" i="6"/>
  <c r="R75" i="6"/>
  <c r="Q75" i="6"/>
  <c r="P75" i="6"/>
  <c r="R76" i="6"/>
  <c r="Q76" i="6"/>
  <c r="P76" i="6"/>
  <c r="R77" i="6"/>
  <c r="Q77" i="6"/>
  <c r="P77" i="6"/>
  <c r="R78" i="6"/>
  <c r="Q78" i="6"/>
  <c r="P78" i="6"/>
  <c r="R79" i="6"/>
  <c r="Q79" i="6"/>
  <c r="P79" i="6"/>
  <c r="R80" i="6"/>
  <c r="Q80" i="6"/>
  <c r="P80" i="6"/>
  <c r="R81" i="6"/>
  <c r="Q81" i="6"/>
  <c r="P81" i="6"/>
  <c r="R82" i="6"/>
  <c r="Q82" i="6"/>
  <c r="P82" i="6"/>
  <c r="R83" i="6"/>
  <c r="Q83" i="6"/>
  <c r="P83" i="6"/>
  <c r="R84" i="6"/>
  <c r="Q84" i="6"/>
  <c r="P84" i="6"/>
  <c r="R85" i="6"/>
  <c r="Q85" i="6"/>
  <c r="P85" i="6"/>
  <c r="R86" i="6"/>
  <c r="Q86" i="6"/>
  <c r="P86" i="6"/>
  <c r="R87" i="6"/>
  <c r="Q87" i="6"/>
  <c r="P87" i="6"/>
  <c r="R88" i="6"/>
  <c r="Q88" i="6"/>
  <c r="P88" i="6"/>
  <c r="R89" i="6"/>
  <c r="Q89" i="6"/>
  <c r="P89" i="6"/>
  <c r="R90" i="6"/>
  <c r="Q90" i="6"/>
  <c r="P90" i="6"/>
  <c r="R91" i="6"/>
  <c r="Q91" i="6"/>
  <c r="P91" i="6"/>
  <c r="R92" i="6"/>
  <c r="Q92" i="6"/>
  <c r="P92" i="6"/>
  <c r="R93" i="6"/>
  <c r="Q93" i="6"/>
  <c r="P93" i="6"/>
  <c r="R94" i="6"/>
  <c r="Q94" i="6"/>
  <c r="P94" i="6"/>
  <c r="R95" i="6"/>
  <c r="Q95" i="6"/>
  <c r="P95" i="6"/>
  <c r="R96" i="6"/>
  <c r="Q96" i="6"/>
  <c r="P96" i="6"/>
  <c r="R97" i="6"/>
  <c r="Q97" i="6"/>
  <c r="P97" i="6"/>
  <c r="R98" i="6"/>
  <c r="Q98" i="6"/>
  <c r="P98" i="6"/>
  <c r="R99" i="6"/>
  <c r="Q99" i="6"/>
  <c r="P99" i="6"/>
  <c r="R100" i="6"/>
  <c r="Q100" i="6"/>
  <c r="P100" i="6"/>
  <c r="R101" i="6"/>
  <c r="Q101" i="6"/>
  <c r="P101" i="6"/>
  <c r="R102" i="6"/>
  <c r="Q102" i="6"/>
  <c r="P102" i="6"/>
  <c r="R103" i="6"/>
  <c r="Q103" i="6"/>
  <c r="P103" i="6"/>
  <c r="R104" i="6"/>
  <c r="Q104" i="6"/>
  <c r="P104" i="6"/>
  <c r="R105" i="6"/>
  <c r="Q105" i="6"/>
  <c r="P105" i="6"/>
  <c r="R2" i="6"/>
  <c r="Q2" i="6"/>
  <c r="P2" i="6"/>
  <c r="R3" i="6"/>
  <c r="Q3" i="6"/>
  <c r="P3" i="6"/>
  <c r="R4" i="6"/>
  <c r="Q4" i="6"/>
  <c r="P4" i="6"/>
  <c r="R5" i="6"/>
  <c r="Q5" i="6"/>
  <c r="P5" i="6"/>
  <c r="R6" i="6"/>
  <c r="Q6" i="6"/>
  <c r="P6" i="6"/>
  <c r="R7" i="6"/>
  <c r="Q7" i="6"/>
  <c r="P7" i="6"/>
  <c r="R8" i="6"/>
  <c r="Q8" i="6"/>
  <c r="P8" i="6"/>
  <c r="R9" i="6"/>
  <c r="Q9" i="6"/>
  <c r="P9" i="6"/>
  <c r="R10" i="6"/>
  <c r="Q10" i="6"/>
  <c r="P10" i="6"/>
  <c r="R11" i="6"/>
  <c r="Q11" i="6"/>
  <c r="P11" i="6"/>
  <c r="R12" i="6"/>
  <c r="Q12" i="6"/>
  <c r="P12" i="6"/>
  <c r="R13" i="6"/>
  <c r="Q13" i="6"/>
  <c r="P13" i="6"/>
  <c r="R14" i="6"/>
  <c r="Q14" i="6"/>
  <c r="P14" i="6"/>
  <c r="R15" i="6"/>
  <c r="Q15" i="6"/>
  <c r="P15" i="6"/>
  <c r="R16" i="6"/>
  <c r="Q16" i="6"/>
  <c r="P16" i="6"/>
  <c r="R17" i="6"/>
  <c r="Q17" i="6"/>
  <c r="P17" i="6"/>
  <c r="R18" i="6"/>
  <c r="Q18" i="6"/>
  <c r="P18" i="6"/>
  <c r="R19" i="6"/>
  <c r="Q19" i="6"/>
  <c r="P19" i="6"/>
  <c r="R20" i="6"/>
  <c r="Q20" i="6"/>
  <c r="P20" i="6"/>
  <c r="R21" i="6"/>
  <c r="Q21" i="6"/>
  <c r="P21" i="6"/>
  <c r="R22" i="6"/>
  <c r="Q22" i="6"/>
  <c r="P22" i="6"/>
  <c r="R23" i="6"/>
  <c r="Q23" i="6"/>
  <c r="P23" i="6"/>
  <c r="R24" i="6"/>
  <c r="Q24" i="6"/>
  <c r="P24" i="6"/>
  <c r="R25" i="6"/>
  <c r="Q25" i="6"/>
  <c r="P25" i="6"/>
  <c r="R26" i="6"/>
  <c r="Q26" i="6"/>
  <c r="P26" i="6"/>
  <c r="R27" i="6"/>
  <c r="Q27" i="6"/>
  <c r="P27" i="6"/>
  <c r="R28" i="6"/>
  <c r="Q28" i="6"/>
  <c r="P28" i="6"/>
  <c r="R29" i="6"/>
  <c r="Q29" i="6"/>
  <c r="P29" i="6"/>
  <c r="R30" i="6"/>
  <c r="Q30" i="6"/>
  <c r="P30" i="6"/>
  <c r="R31" i="6"/>
  <c r="Q31" i="6"/>
  <c r="P31" i="6"/>
  <c r="R32" i="6"/>
  <c r="Q32" i="6"/>
  <c r="P32" i="6"/>
  <c r="R33" i="6"/>
  <c r="Q33" i="6"/>
  <c r="P33" i="6"/>
  <c r="R34" i="6"/>
  <c r="Q34" i="6"/>
  <c r="P34" i="6"/>
  <c r="R35" i="6"/>
  <c r="Q35" i="6"/>
  <c r="P35" i="6"/>
  <c r="R36" i="6"/>
  <c r="Q36" i="6"/>
  <c r="P36" i="6"/>
  <c r="R37" i="6"/>
  <c r="Q37" i="6"/>
  <c r="P37" i="6"/>
  <c r="R38" i="6"/>
  <c r="Q38" i="6"/>
  <c r="P38" i="6"/>
  <c r="R39" i="6"/>
  <c r="Q39" i="6"/>
  <c r="P39" i="6"/>
  <c r="R40" i="6"/>
  <c r="Q40" i="6"/>
  <c r="P40" i="6"/>
  <c r="R41" i="6"/>
  <c r="Q41" i="6"/>
  <c r="P41" i="6"/>
  <c r="R42" i="6"/>
  <c r="Q42" i="6"/>
  <c r="P42" i="6"/>
  <c r="R43" i="6"/>
  <c r="Q43" i="6"/>
  <c r="P43" i="6"/>
  <c r="R44" i="6"/>
  <c r="Q44" i="6"/>
  <c r="P44" i="6"/>
  <c r="R45" i="6"/>
  <c r="Q45" i="6"/>
  <c r="P45" i="6"/>
  <c r="R46" i="6"/>
  <c r="Q46" i="6"/>
  <c r="P46" i="6"/>
  <c r="R47" i="6"/>
  <c r="Q47" i="6"/>
  <c r="P47" i="6"/>
  <c r="R48" i="6"/>
  <c r="Q48" i="6"/>
  <c r="P48" i="6"/>
  <c r="R49" i="6"/>
  <c r="Q49" i="6"/>
  <c r="P49" i="6"/>
  <c r="R50" i="6"/>
  <c r="Q50" i="6"/>
  <c r="P50" i="6"/>
  <c r="R51" i="6"/>
  <c r="Q51" i="6"/>
  <c r="P51" i="6"/>
  <c r="R52" i="6"/>
  <c r="Q52" i="6"/>
  <c r="P52" i="6"/>
  <c r="R53" i="6"/>
  <c r="Q53" i="6"/>
  <c r="P53" i="6"/>
  <c r="R54" i="6"/>
  <c r="Q54" i="6"/>
  <c r="P54" i="6"/>
  <c r="R55" i="6"/>
  <c r="Q55" i="6"/>
  <c r="P55" i="6"/>
  <c r="R56" i="6"/>
  <c r="Q56" i="6"/>
  <c r="P56" i="6"/>
  <c r="R57" i="6"/>
  <c r="Q57" i="6"/>
  <c r="P57" i="6"/>
  <c r="R58" i="6"/>
  <c r="Q58" i="6"/>
  <c r="P58" i="6"/>
  <c r="R59" i="6"/>
  <c r="Q59" i="6"/>
  <c r="P59" i="6"/>
  <c r="R60" i="6"/>
  <c r="Q60" i="6"/>
  <c r="P60" i="6"/>
  <c r="R61" i="6"/>
  <c r="Q61" i="6"/>
  <c r="P61" i="6"/>
  <c r="R62" i="6"/>
  <c r="Q62" i="6"/>
  <c r="P62" i="6"/>
  <c r="R63" i="6"/>
  <c r="Q63" i="6"/>
  <c r="P63" i="6"/>
  <c r="R64" i="6"/>
  <c r="Q64" i="6"/>
  <c r="P64" i="6"/>
  <c r="R65" i="6"/>
  <c r="Q65" i="6"/>
  <c r="P65" i="6"/>
  <c r="R66" i="6"/>
  <c r="Q66" i="6"/>
  <c r="P66" i="6"/>
  <c r="R67" i="6"/>
  <c r="Q67" i="6"/>
  <c r="P67" i="6"/>
  <c r="R68" i="6"/>
  <c r="Q68" i="6"/>
  <c r="P68" i="6"/>
  <c r="R69" i="6"/>
  <c r="Q69" i="6"/>
  <c r="P69" i="6"/>
  <c r="R70" i="6"/>
  <c r="Q70" i="6"/>
  <c r="P70" i="6"/>
  <c r="R106" i="6"/>
  <c r="Q106" i="6"/>
  <c r="P106" i="6"/>
  <c r="R107" i="6"/>
  <c r="Q107" i="6"/>
  <c r="P107" i="6"/>
  <c r="R108" i="6"/>
  <c r="Q108" i="6"/>
  <c r="P108" i="6"/>
  <c r="R109" i="6"/>
  <c r="Q109" i="6"/>
  <c r="P109" i="6"/>
  <c r="R110" i="6"/>
  <c r="Q110" i="6"/>
  <c r="P110" i="6"/>
  <c r="R111" i="6"/>
  <c r="Q111" i="6"/>
  <c r="P111" i="6"/>
  <c r="R112" i="6"/>
  <c r="Q112" i="6"/>
  <c r="P112" i="6"/>
  <c r="R113" i="6"/>
  <c r="Q113" i="6"/>
  <c r="P113" i="6"/>
  <c r="R114" i="6"/>
  <c r="Q114" i="6"/>
  <c r="P114" i="6"/>
  <c r="R115" i="6"/>
  <c r="Q115" i="6"/>
  <c r="P115" i="6"/>
  <c r="R116" i="6"/>
  <c r="Q116" i="6"/>
  <c r="P116" i="6"/>
  <c r="R117" i="6"/>
  <c r="Q117" i="6"/>
  <c r="P117" i="6"/>
  <c r="R118" i="6"/>
  <c r="Q118" i="6"/>
  <c r="P118" i="6"/>
  <c r="R119" i="6"/>
  <c r="Q119" i="6"/>
  <c r="P119" i="6"/>
  <c r="R120" i="6"/>
  <c r="Q120" i="6"/>
  <c r="P120" i="6"/>
  <c r="R121" i="6"/>
  <c r="Q121" i="6"/>
  <c r="P121" i="6"/>
  <c r="R122" i="6"/>
  <c r="Q122" i="6"/>
  <c r="P122" i="6"/>
  <c r="R123" i="6"/>
  <c r="Q123" i="6"/>
  <c r="P123" i="6"/>
  <c r="R124" i="6"/>
  <c r="Q124" i="6"/>
  <c r="P124" i="6"/>
  <c r="R125" i="6"/>
  <c r="Q125" i="6"/>
  <c r="P125" i="6"/>
  <c r="R126" i="6"/>
  <c r="Q126" i="6"/>
  <c r="P126" i="6"/>
  <c r="R127" i="6"/>
  <c r="Q127" i="6"/>
  <c r="P127" i="6"/>
  <c r="R128" i="6"/>
  <c r="Q128" i="6"/>
  <c r="P128" i="6"/>
  <c r="R129" i="6"/>
  <c r="Q129" i="6"/>
  <c r="P129" i="6"/>
  <c r="R130" i="6"/>
  <c r="Q130" i="6"/>
  <c r="P130" i="6"/>
  <c r="R131" i="6"/>
  <c r="Q131" i="6"/>
  <c r="P131" i="6"/>
  <c r="R132" i="6"/>
  <c r="Q132" i="6"/>
  <c r="P132" i="6"/>
  <c r="R133" i="6"/>
  <c r="Q133" i="6"/>
  <c r="P133" i="6"/>
  <c r="R134" i="6"/>
  <c r="Q134" i="6"/>
  <c r="P134" i="6"/>
  <c r="R135" i="6"/>
  <c r="Q135" i="6"/>
  <c r="P135" i="6"/>
  <c r="R136" i="6"/>
  <c r="Q136" i="6"/>
  <c r="P136" i="6"/>
  <c r="R137" i="6"/>
  <c r="Q137" i="6"/>
  <c r="P137" i="6"/>
  <c r="R138" i="6"/>
  <c r="Q138" i="6"/>
  <c r="P138" i="6"/>
  <c r="R139" i="6"/>
  <c r="Q139" i="6"/>
  <c r="P139" i="6"/>
  <c r="R140" i="6"/>
  <c r="Q140" i="6"/>
  <c r="P140" i="6"/>
  <c r="R141" i="6"/>
  <c r="Q141" i="6"/>
  <c r="P141" i="6"/>
  <c r="R142" i="6"/>
  <c r="Q142" i="6"/>
  <c r="P142" i="6"/>
  <c r="R143" i="6"/>
  <c r="Q143" i="6"/>
  <c r="P143" i="6"/>
  <c r="R144" i="6"/>
  <c r="Q144" i="6"/>
  <c r="P144" i="6"/>
  <c r="R145" i="6"/>
  <c r="Q145" i="6"/>
  <c r="P145" i="6"/>
  <c r="R146" i="6"/>
  <c r="Q146" i="6"/>
  <c r="P146" i="6"/>
  <c r="R147" i="6"/>
  <c r="Q147" i="6"/>
  <c r="P147" i="6"/>
  <c r="R148" i="6"/>
  <c r="Q148" i="6"/>
  <c r="P148" i="6"/>
  <c r="R149" i="6"/>
  <c r="Q149" i="6"/>
  <c r="P149" i="6"/>
  <c r="R150" i="6"/>
  <c r="Q150" i="6"/>
  <c r="P150" i="6"/>
  <c r="R151" i="6"/>
  <c r="Q151" i="6"/>
  <c r="P151" i="6"/>
  <c r="R152" i="6"/>
  <c r="Q152" i="6"/>
  <c r="P152" i="6"/>
  <c r="R153" i="6"/>
  <c r="Q153" i="6"/>
  <c r="P153" i="6"/>
  <c r="R154" i="6"/>
  <c r="Q154" i="6"/>
  <c r="P154" i="6"/>
  <c r="R155" i="6"/>
  <c r="Q155" i="6"/>
  <c r="P155" i="6"/>
  <c r="R156" i="6"/>
  <c r="Q156" i="6"/>
  <c r="P156" i="6"/>
  <c r="R157" i="6"/>
  <c r="Q157" i="6"/>
  <c r="P157" i="6"/>
  <c r="R158" i="6"/>
  <c r="Q158" i="6"/>
  <c r="P158" i="6"/>
  <c r="R159" i="6"/>
  <c r="Q159" i="6"/>
  <c r="P159" i="6"/>
  <c r="B13" i="33" l="1"/>
  <c r="D54" i="33" s="1"/>
  <c r="B7" i="31"/>
  <c r="B9" i="16"/>
  <c r="B53" i="14"/>
  <c r="G34" i="30"/>
  <c r="F34" i="30"/>
  <c r="G33" i="30"/>
  <c r="F33" i="30"/>
  <c r="G32" i="30"/>
  <c r="F32" i="30"/>
  <c r="G31" i="30"/>
  <c r="F31" i="30"/>
  <c r="G30" i="30"/>
  <c r="F30" i="30"/>
  <c r="G29" i="30"/>
  <c r="F29" i="30"/>
  <c r="G28" i="30"/>
  <c r="F28" i="30"/>
  <c r="B39" i="30"/>
  <c r="G27" i="30"/>
  <c r="F27" i="30"/>
  <c r="I29" i="33"/>
  <c r="H29" i="33"/>
  <c r="I28" i="33"/>
  <c r="H28" i="33"/>
  <c r="H27" i="33"/>
  <c r="I27" i="33" s="1"/>
  <c r="H26" i="33"/>
  <c r="I26" i="33" s="1"/>
  <c r="H25" i="33"/>
  <c r="I25" i="33" s="1"/>
  <c r="H24" i="33"/>
  <c r="H23" i="33"/>
  <c r="H22" i="33"/>
  <c r="I22" i="33" s="1"/>
  <c r="H21" i="33"/>
  <c r="I21" i="33" s="1"/>
  <c r="H20" i="33"/>
  <c r="H23" i="32"/>
  <c r="H22" i="32"/>
  <c r="H21" i="32"/>
  <c r="H20" i="32"/>
  <c r="H19" i="32"/>
  <c r="H18" i="32"/>
  <c r="I18" i="32" s="1"/>
  <c r="H17" i="32"/>
  <c r="I17" i="32" s="1"/>
  <c r="H16" i="32"/>
  <c r="H25" i="31"/>
  <c r="H24" i="31"/>
  <c r="H23" i="31"/>
  <c r="H22" i="31"/>
  <c r="H21" i="31"/>
  <c r="H20" i="31"/>
  <c r="H19" i="31"/>
  <c r="H18" i="31"/>
  <c r="H17" i="31"/>
  <c r="H16" i="31"/>
  <c r="K25" i="29"/>
  <c r="I25" i="29"/>
  <c r="J25" i="29" s="1"/>
  <c r="K24" i="29"/>
  <c r="I24" i="29"/>
  <c r="J24" i="29" s="1"/>
  <c r="K23" i="29"/>
  <c r="I23" i="29"/>
  <c r="J23" i="29" s="1"/>
  <c r="K22" i="29"/>
  <c r="I22" i="29"/>
  <c r="J22" i="29" s="1"/>
  <c r="K21" i="29"/>
  <c r="I21" i="29"/>
  <c r="J21" i="29" s="1"/>
  <c r="K20" i="29"/>
  <c r="I20" i="29"/>
  <c r="J20" i="29" s="1"/>
  <c r="K19" i="29"/>
  <c r="I19" i="29"/>
  <c r="J19" i="29" s="1"/>
  <c r="K18" i="29"/>
  <c r="I18" i="29"/>
  <c r="J18" i="29" s="1"/>
  <c r="K17" i="29"/>
  <c r="I17" i="29"/>
  <c r="J17" i="29" s="1"/>
  <c r="K16" i="29"/>
  <c r="I16" i="29"/>
  <c r="I24" i="28"/>
  <c r="H24" i="28"/>
  <c r="I23" i="28"/>
  <c r="H23" i="28"/>
  <c r="I22" i="28"/>
  <c r="H22" i="28"/>
  <c r="I21" i="28"/>
  <c r="H21" i="28"/>
  <c r="I20" i="28"/>
  <c r="H20" i="28"/>
  <c r="I19" i="28"/>
  <c r="H19" i="28"/>
  <c r="I18" i="28"/>
  <c r="H18" i="28"/>
  <c r="I17" i="28"/>
  <c r="H17" i="28"/>
  <c r="I16" i="28"/>
  <c r="H16" i="28"/>
  <c r="I15" i="28"/>
  <c r="H15" i="28"/>
  <c r="I14" i="28"/>
  <c r="H14" i="28"/>
  <c r="I13" i="28"/>
  <c r="H13" i="28"/>
  <c r="B32" i="28" s="1"/>
  <c r="H19" i="25"/>
  <c r="D23" i="25"/>
  <c r="H23" i="25"/>
  <c r="I23" i="25" s="1"/>
  <c r="D25" i="25"/>
  <c r="H24" i="25"/>
  <c r="I24" i="25" s="1"/>
  <c r="D26" i="25"/>
  <c r="G13" i="21"/>
  <c r="I13" i="21" s="1"/>
  <c r="G12" i="21"/>
  <c r="I12" i="21" s="1"/>
  <c r="G11" i="21"/>
  <c r="I11" i="21" s="1"/>
  <c r="J25" i="21"/>
  <c r="I25" i="21"/>
  <c r="J24" i="21"/>
  <c r="I24" i="21"/>
  <c r="J23" i="21"/>
  <c r="I23" i="21"/>
  <c r="J22" i="21"/>
  <c r="I22" i="21"/>
  <c r="J21" i="21"/>
  <c r="I21" i="21"/>
  <c r="J20" i="21"/>
  <c r="I20" i="21"/>
  <c r="J19" i="21"/>
  <c r="B62" i="21" s="1"/>
  <c r="I19" i="21"/>
  <c r="G5" i="18"/>
  <c r="G6" i="18"/>
  <c r="H6" i="18" s="1"/>
  <c r="G7" i="18"/>
  <c r="H7" i="18" s="1"/>
  <c r="G8" i="18"/>
  <c r="H8" i="18" s="1"/>
  <c r="G9" i="18"/>
  <c r="G10" i="18"/>
  <c r="H10" i="18" s="1"/>
  <c r="G11" i="18"/>
  <c r="G12" i="18"/>
  <c r="H12" i="18" s="1"/>
  <c r="G13" i="18"/>
  <c r="H13" i="18" s="1"/>
  <c r="B9" i="18"/>
  <c r="B11" i="18"/>
  <c r="B12" i="18"/>
  <c r="B13" i="18"/>
  <c r="B14" i="18"/>
  <c r="K28" i="18"/>
  <c r="L28" i="18"/>
  <c r="K27" i="18"/>
  <c r="L27" i="18"/>
  <c r="K26" i="18"/>
  <c r="L26" i="18"/>
  <c r="K25" i="18"/>
  <c r="L25" i="18"/>
  <c r="K24" i="18"/>
  <c r="L24" i="18"/>
  <c r="K23" i="18"/>
  <c r="L23" i="18"/>
  <c r="K22" i="18"/>
  <c r="L22" i="18"/>
  <c r="K21" i="18"/>
  <c r="L21" i="18"/>
  <c r="K20" i="18"/>
  <c r="L20" i="18"/>
  <c r="K19" i="18"/>
  <c r="G50" i="18" s="1"/>
  <c r="L19" i="18"/>
  <c r="G49" i="18"/>
  <c r="B15" i="17"/>
  <c r="B7" i="17"/>
  <c r="B8" i="17"/>
  <c r="B13" i="17"/>
  <c r="K27" i="17"/>
  <c r="L27" i="17"/>
  <c r="K26" i="17"/>
  <c r="L26" i="17"/>
  <c r="K25" i="17"/>
  <c r="L25" i="17"/>
  <c r="K24" i="17"/>
  <c r="L24" i="17"/>
  <c r="K23" i="17"/>
  <c r="L23" i="17"/>
  <c r="K22" i="17"/>
  <c r="L22" i="17"/>
  <c r="B69" i="17" s="1"/>
  <c r="K21" i="17"/>
  <c r="L21" i="17"/>
  <c r="K20" i="17"/>
  <c r="L20" i="17"/>
  <c r="K19" i="17"/>
  <c r="L19" i="17"/>
  <c r="K18" i="17"/>
  <c r="L18" i="17"/>
  <c r="B60" i="17"/>
  <c r="B94" i="5" s="1"/>
  <c r="L14" i="16"/>
  <c r="K14" i="16"/>
  <c r="L15" i="16"/>
  <c r="K15" i="16"/>
  <c r="L16" i="16"/>
  <c r="L30" i="16" s="1"/>
  <c r="K16" i="16"/>
  <c r="L17" i="16"/>
  <c r="K17" i="16"/>
  <c r="L18" i="16"/>
  <c r="K18" i="16"/>
  <c r="L19" i="16"/>
  <c r="K19" i="16"/>
  <c r="L20" i="16"/>
  <c r="L32" i="16" s="1"/>
  <c r="K20" i="16"/>
  <c r="L21" i="16"/>
  <c r="L31" i="16" s="1"/>
  <c r="K21" i="16"/>
  <c r="L22" i="16"/>
  <c r="L34" i="16" s="1"/>
  <c r="K22" i="16"/>
  <c r="L23" i="16"/>
  <c r="K23" i="16"/>
  <c r="L24" i="16"/>
  <c r="L35" i="16" s="1"/>
  <c r="K24" i="16"/>
  <c r="C71" i="15"/>
  <c r="C67" i="15"/>
  <c r="F34" i="14"/>
  <c r="H34" i="14" s="1"/>
  <c r="F33" i="14"/>
  <c r="H33" i="14" s="1"/>
  <c r="F32" i="14"/>
  <c r="H32" i="14" s="1"/>
  <c r="F31" i="14"/>
  <c r="H31" i="14" s="1"/>
  <c r="F30" i="14"/>
  <c r="H30" i="14" s="1"/>
  <c r="F29" i="14"/>
  <c r="H10" i="14"/>
  <c r="H9" i="14"/>
  <c r="H8" i="14"/>
  <c r="H7" i="14"/>
  <c r="H6" i="14"/>
  <c r="H5" i="14"/>
  <c r="B11" i="14"/>
  <c r="B10" i="14"/>
  <c r="B9" i="14"/>
  <c r="B8" i="14"/>
  <c r="G57" i="36"/>
  <c r="G56" i="36"/>
  <c r="G55" i="36"/>
  <c r="B47" i="36"/>
  <c r="B46" i="36"/>
  <c r="B40" i="36"/>
  <c r="I22" i="36"/>
  <c r="B43" i="36"/>
  <c r="B42" i="36"/>
  <c r="B41" i="36"/>
  <c r="G52" i="36"/>
  <c r="G51" i="36"/>
  <c r="G53" i="36"/>
  <c r="G58" i="36" s="1"/>
  <c r="H34" i="36"/>
  <c r="H33" i="36"/>
  <c r="H32" i="36"/>
  <c r="H31" i="36"/>
  <c r="H30" i="36"/>
  <c r="H29" i="36"/>
  <c r="H28" i="36"/>
  <c r="H27" i="36"/>
  <c r="B26" i="36"/>
  <c r="I34" i="36"/>
  <c r="I33" i="36"/>
  <c r="I32" i="36"/>
  <c r="I31" i="36"/>
  <c r="I30" i="36"/>
  <c r="I29" i="36"/>
  <c r="I28" i="36"/>
  <c r="I27" i="36"/>
  <c r="B27" i="36"/>
  <c r="F39" i="36"/>
  <c r="B28" i="36"/>
  <c r="J18" i="32"/>
  <c r="E18" i="32"/>
  <c r="J17" i="32"/>
  <c r="E17" i="32"/>
  <c r="I26" i="24"/>
  <c r="I27" i="24" s="1"/>
  <c r="I28" i="24" s="1"/>
  <c r="J19" i="24"/>
  <c r="J16" i="32"/>
  <c r="E16" i="32"/>
  <c r="B81" i="35"/>
  <c r="B80" i="35"/>
  <c r="B79" i="35"/>
  <c r="G62" i="22"/>
  <c r="H62" i="22" s="1"/>
  <c r="G58" i="22"/>
  <c r="H58" i="22" s="1"/>
  <c r="G59" i="22"/>
  <c r="H59" i="22" s="1"/>
  <c r="G63" i="22"/>
  <c r="H63" i="22" s="1"/>
  <c r="G64" i="22"/>
  <c r="H64" i="22" s="1"/>
  <c r="G60" i="22"/>
  <c r="H60" i="22" s="1"/>
  <c r="I49" i="22"/>
  <c r="H49" i="22"/>
  <c r="D112" i="22"/>
  <c r="C112" i="22"/>
  <c r="B112" i="22"/>
  <c r="G61" i="22"/>
  <c r="H61" i="22" s="1"/>
  <c r="E53" i="22"/>
  <c r="D53" i="22"/>
  <c r="G53" i="22" s="1"/>
  <c r="D52" i="22"/>
  <c r="G52" i="22" s="1"/>
  <c r="E52" i="22"/>
  <c r="D51" i="22"/>
  <c r="G51" i="22" s="1"/>
  <c r="E51" i="22"/>
  <c r="D50" i="22"/>
  <c r="G50" i="22" s="1"/>
  <c r="E50" i="22"/>
  <c r="E48" i="22"/>
  <c r="D48" i="22"/>
  <c r="G48" i="22" s="1"/>
  <c r="D47" i="22"/>
  <c r="G47" i="22" s="1"/>
  <c r="E47" i="22"/>
  <c r="D46" i="22"/>
  <c r="G46" i="22" s="1"/>
  <c r="E46" i="22"/>
  <c r="D45" i="22"/>
  <c r="G45" i="22" s="1"/>
  <c r="E45" i="22"/>
  <c r="D44" i="22"/>
  <c r="G44" i="22" s="1"/>
  <c r="E44" i="22"/>
  <c r="I6" i="21"/>
  <c r="B58" i="21"/>
  <c r="F17" i="12"/>
  <c r="F18" i="12"/>
  <c r="F16" i="12"/>
  <c r="F15" i="12"/>
  <c r="F14" i="12"/>
  <c r="B139" i="5"/>
  <c r="E29" i="10"/>
  <c r="H20" i="12"/>
  <c r="B40" i="8"/>
  <c r="B61" i="5"/>
  <c r="B63" i="5"/>
  <c r="B88" i="5"/>
  <c r="B9" i="12"/>
  <c r="B8" i="12"/>
  <c r="F55" i="12"/>
  <c r="B20" i="12"/>
  <c r="B52" i="14" s="1"/>
  <c r="C14" i="12"/>
  <c r="F56" i="12"/>
  <c r="C16" i="12"/>
  <c r="D108" i="12"/>
  <c r="C108" i="12"/>
  <c r="D101" i="12"/>
  <c r="C101" i="12"/>
  <c r="H78" i="12"/>
  <c r="D102" i="12"/>
  <c r="C102" i="12"/>
  <c r="H81" i="12"/>
  <c r="D103" i="12"/>
  <c r="C103" i="12"/>
  <c r="H86" i="12"/>
  <c r="D104" i="12"/>
  <c r="C104" i="12"/>
  <c r="H89" i="12"/>
  <c r="D105" i="12"/>
  <c r="C105" i="12"/>
  <c r="H92" i="12"/>
  <c r="D106" i="12"/>
  <c r="C106" i="12"/>
  <c r="H94" i="12"/>
  <c r="D27" i="10"/>
  <c r="F27" i="10" s="1"/>
  <c r="D135" i="5"/>
  <c r="C109" i="5"/>
  <c r="E109" i="5" s="1"/>
  <c r="G17" i="12"/>
  <c r="D26" i="10"/>
  <c r="F26" i="10" s="1"/>
  <c r="D134" i="5"/>
  <c r="C108" i="5"/>
  <c r="E108" i="5" s="1"/>
  <c r="G18" i="12"/>
  <c r="D25" i="10"/>
  <c r="F25" i="10" s="1"/>
  <c r="D133" i="5"/>
  <c r="C107" i="5"/>
  <c r="E107" i="5" s="1"/>
  <c r="G16" i="12"/>
  <c r="D24" i="10"/>
  <c r="F24" i="10" s="1"/>
  <c r="D132" i="5"/>
  <c r="C106" i="5"/>
  <c r="E106" i="5" s="1"/>
  <c r="G15" i="12"/>
  <c r="D23" i="10"/>
  <c r="F23" i="10" s="1"/>
  <c r="D131" i="5"/>
  <c r="C105" i="5"/>
  <c r="E105" i="5" s="1"/>
  <c r="B70" i="12"/>
  <c r="D22" i="10"/>
  <c r="D130" i="5"/>
  <c r="C104" i="5"/>
  <c r="E104" i="5" s="1"/>
  <c r="B112" i="5"/>
  <c r="B114" i="5" s="1"/>
  <c r="B47" i="9"/>
  <c r="E47" i="9" s="1"/>
  <c r="F35" i="9"/>
  <c r="B22" i="9"/>
  <c r="B21" i="9"/>
  <c r="B20" i="9"/>
  <c r="B38" i="9"/>
  <c r="B39" i="9" s="1"/>
  <c r="B33" i="9"/>
  <c r="F33" i="9" s="1"/>
  <c r="B32" i="9"/>
  <c r="B24" i="9"/>
  <c r="B31" i="8"/>
  <c r="B32" i="8"/>
  <c r="B33" i="8"/>
  <c r="B68" i="12"/>
  <c r="B35" i="8"/>
  <c r="B69" i="12"/>
  <c r="B78" i="5"/>
  <c r="B75" i="5"/>
  <c r="B73" i="5" s="1"/>
  <c r="B74" i="5" s="1"/>
  <c r="B76" i="5" s="1"/>
  <c r="B71" i="5" s="1"/>
  <c r="C53" i="5"/>
  <c r="C52" i="5"/>
  <c r="C51" i="5"/>
  <c r="C50" i="5"/>
  <c r="C49" i="5"/>
  <c r="C55" i="5"/>
  <c r="C48" i="5"/>
  <c r="R160" i="6"/>
  <c r="Q160" i="6"/>
  <c r="P160" i="6"/>
  <c r="R161" i="6"/>
  <c r="Q161" i="6"/>
  <c r="P161" i="6"/>
  <c r="R162" i="6"/>
  <c r="Q162" i="6"/>
  <c r="P162" i="6"/>
  <c r="R163" i="6"/>
  <c r="Q163" i="6"/>
  <c r="P163" i="6"/>
  <c r="R164" i="6"/>
  <c r="Q164" i="6"/>
  <c r="P164" i="6"/>
  <c r="R165" i="6"/>
  <c r="Q165" i="6"/>
  <c r="P165" i="6"/>
  <c r="R166" i="6"/>
  <c r="Q166" i="6"/>
  <c r="P166" i="6"/>
  <c r="R167" i="6"/>
  <c r="Q167" i="6"/>
  <c r="P167" i="6"/>
  <c r="R168" i="6"/>
  <c r="Q168" i="6"/>
  <c r="P168" i="6"/>
  <c r="R169" i="6"/>
  <c r="Q169" i="6"/>
  <c r="P169" i="6"/>
  <c r="R170" i="6"/>
  <c r="Q170" i="6"/>
  <c r="P170" i="6"/>
  <c r="R171" i="6"/>
  <c r="Q171" i="6"/>
  <c r="P171" i="6"/>
  <c r="R172" i="6"/>
  <c r="Q172" i="6"/>
  <c r="P172" i="6"/>
  <c r="R173" i="6"/>
  <c r="Q173" i="6"/>
  <c r="P173" i="6"/>
  <c r="D78" i="15" l="1"/>
  <c r="B78" i="15"/>
  <c r="B35" i="32"/>
  <c r="B42" i="32" s="1"/>
  <c r="B36" i="32"/>
  <c r="C27" i="32"/>
  <c r="D27" i="32" s="1"/>
  <c r="B31" i="36"/>
  <c r="B32" i="36" s="1"/>
  <c r="F35" i="14"/>
  <c r="H35" i="14" s="1"/>
  <c r="H29" i="14"/>
  <c r="L33" i="16"/>
  <c r="G6" i="16"/>
  <c r="L29" i="16"/>
  <c r="L28" i="16"/>
  <c r="B63" i="16" s="1"/>
  <c r="B65" i="14" s="1"/>
  <c r="G9" i="16"/>
  <c r="B60" i="16"/>
  <c r="G10" i="16"/>
  <c r="G5" i="16"/>
  <c r="B67" i="17"/>
  <c r="B63" i="17"/>
  <c r="E94" i="5" s="1"/>
  <c r="J49" i="17"/>
  <c r="L49" i="17" s="1"/>
  <c r="J48" i="17"/>
  <c r="L48" i="17" s="1"/>
  <c r="J47" i="17"/>
  <c r="L47" i="17" s="1"/>
  <c r="J46" i="17"/>
  <c r="L46" i="17" s="1"/>
  <c r="J45" i="17"/>
  <c r="L45" i="17" s="1"/>
  <c r="J44" i="17"/>
  <c r="L44" i="17" s="1"/>
  <c r="F51" i="17"/>
  <c r="E51" i="17"/>
  <c r="F50" i="17"/>
  <c r="E50" i="17"/>
  <c r="F49" i="17"/>
  <c r="E49" i="17"/>
  <c r="F48" i="17"/>
  <c r="E48" i="17"/>
  <c r="F47" i="17"/>
  <c r="E47" i="17"/>
  <c r="F46" i="17"/>
  <c r="E46" i="17"/>
  <c r="F45" i="17"/>
  <c r="E45" i="17"/>
  <c r="F44" i="17"/>
  <c r="B62" i="17" s="1"/>
  <c r="E44" i="17"/>
  <c r="L35" i="17"/>
  <c r="K35" i="17"/>
  <c r="L34" i="17"/>
  <c r="K34" i="17"/>
  <c r="L33" i="17"/>
  <c r="K33" i="17"/>
  <c r="L32" i="17"/>
  <c r="K32" i="17"/>
  <c r="L31" i="17"/>
  <c r="K31" i="17"/>
  <c r="B61" i="17" s="1"/>
  <c r="B93" i="5" s="1"/>
  <c r="G13" i="17"/>
  <c r="H13" i="17" s="1"/>
  <c r="G12" i="17"/>
  <c r="H12" i="17" s="1"/>
  <c r="G11" i="17"/>
  <c r="H11" i="17" s="1"/>
  <c r="G10" i="17"/>
  <c r="G9" i="17"/>
  <c r="H9" i="17" s="1"/>
  <c r="G8" i="17"/>
  <c r="H8" i="17" s="1"/>
  <c r="G6" i="17"/>
  <c r="G5" i="17"/>
  <c r="B14" i="17"/>
  <c r="B12" i="17"/>
  <c r="B70" i="17" s="1"/>
  <c r="B10" i="17"/>
  <c r="B92" i="5" s="1"/>
  <c r="B9" i="17"/>
  <c r="B91" i="5" s="1"/>
  <c r="J33" i="18"/>
  <c r="J35" i="18"/>
  <c r="B15" i="18"/>
  <c r="J34" i="18" s="1"/>
  <c r="J32" i="18"/>
  <c r="J37" i="18"/>
  <c r="H11" i="18"/>
  <c r="J36" i="18"/>
  <c r="H9" i="18"/>
  <c r="H5" i="18"/>
  <c r="G14" i="18"/>
  <c r="E52" i="25"/>
  <c r="H32" i="25"/>
  <c r="E54" i="25" s="1"/>
  <c r="H31" i="25"/>
  <c r="I19" i="25"/>
  <c r="B8" i="33"/>
  <c r="C32" i="28"/>
  <c r="B34" i="28"/>
  <c r="B33" i="28"/>
  <c r="B29" i="28"/>
  <c r="B30" i="28"/>
  <c r="B31" i="28"/>
  <c r="B39" i="29"/>
  <c r="J16" i="29"/>
  <c r="B40" i="31"/>
  <c r="J16" i="31"/>
  <c r="B42" i="31"/>
  <c r="C42" i="31" s="1"/>
  <c r="I16" i="31"/>
  <c r="J17" i="31"/>
  <c r="I17" i="31"/>
  <c r="J18" i="31"/>
  <c r="I18" i="31"/>
  <c r="J19" i="31"/>
  <c r="I19" i="31"/>
  <c r="J20" i="31"/>
  <c r="I20" i="31"/>
  <c r="J21" i="31"/>
  <c r="I21" i="31"/>
  <c r="J22" i="31"/>
  <c r="I22" i="31"/>
  <c r="J23" i="31"/>
  <c r="I23" i="31"/>
  <c r="J24" i="31"/>
  <c r="I24" i="31"/>
  <c r="J25" i="31"/>
  <c r="I25" i="31"/>
  <c r="B40" i="32"/>
  <c r="I16" i="32"/>
  <c r="J19" i="32"/>
  <c r="I19" i="32"/>
  <c r="J20" i="32"/>
  <c r="I20" i="32"/>
  <c r="J21" i="32"/>
  <c r="I21" i="32"/>
  <c r="J22" i="32"/>
  <c r="I22" i="32"/>
  <c r="J23" i="32"/>
  <c r="I23" i="32"/>
  <c r="B37" i="33"/>
  <c r="I20" i="33"/>
  <c r="B41" i="33"/>
  <c r="C41" i="33" s="1"/>
  <c r="I23" i="33"/>
  <c r="B40" i="33"/>
  <c r="C40" i="33" s="1"/>
  <c r="I24" i="33"/>
  <c r="B40" i="30"/>
  <c r="B41" i="30"/>
  <c r="B44" i="30"/>
  <c r="I53" i="22"/>
  <c r="H53" i="22"/>
  <c r="I52" i="22"/>
  <c r="H52" i="22"/>
  <c r="I51" i="22"/>
  <c r="H51" i="22"/>
  <c r="I50" i="22"/>
  <c r="H50" i="22"/>
  <c r="I48" i="22"/>
  <c r="H48" i="22"/>
  <c r="I47" i="22"/>
  <c r="H47" i="22"/>
  <c r="I46" i="22"/>
  <c r="H46" i="22"/>
  <c r="I45" i="22"/>
  <c r="H45" i="22"/>
  <c r="I44" i="22"/>
  <c r="H44" i="22"/>
  <c r="B79" i="22"/>
  <c r="E103" i="22" s="1"/>
  <c r="F103" i="22" s="1"/>
  <c r="E101" i="22"/>
  <c r="F101" i="22" s="1"/>
  <c r="E102" i="22"/>
  <c r="F102" i="22" s="1"/>
  <c r="E99" i="22"/>
  <c r="F99" i="22" s="1"/>
  <c r="E100" i="22"/>
  <c r="F100" i="22" s="1"/>
  <c r="B80" i="22"/>
  <c r="B81" i="22"/>
  <c r="D80" i="22"/>
  <c r="E80" i="22"/>
  <c r="D79" i="22"/>
  <c r="E79" i="22"/>
  <c r="B77" i="5"/>
  <c r="E84" i="5" s="1"/>
  <c r="E71" i="5"/>
  <c r="E72" i="5"/>
  <c r="B79" i="5"/>
  <c r="E83" i="5"/>
  <c r="B48" i="8" s="1"/>
  <c r="F22" i="10"/>
  <c r="D29" i="10"/>
  <c r="F20" i="12"/>
  <c r="G14" i="12"/>
  <c r="F58" i="12"/>
  <c r="B55" i="12"/>
  <c r="C20" i="12"/>
  <c r="B41" i="8"/>
  <c r="B84" i="5"/>
  <c r="B47" i="8" s="1"/>
  <c r="B83" i="5"/>
  <c r="B46" i="8" s="1"/>
  <c r="B140" i="5"/>
  <c r="B141" i="5"/>
  <c r="T173" i="6"/>
  <c r="U173" i="6" s="1"/>
  <c r="S173" i="6"/>
  <c r="T172" i="6"/>
  <c r="U172" i="6" s="1"/>
  <c r="S172" i="6"/>
  <c r="T171" i="6"/>
  <c r="U171" i="6" s="1"/>
  <c r="S171" i="6"/>
  <c r="T170" i="6"/>
  <c r="U170" i="6" s="1"/>
  <c r="S170" i="6"/>
  <c r="T169" i="6"/>
  <c r="U169" i="6" s="1"/>
  <c r="S169" i="6"/>
  <c r="T168" i="6"/>
  <c r="U168" i="6" s="1"/>
  <c r="S168" i="6"/>
  <c r="T167" i="6"/>
  <c r="U167" i="6" s="1"/>
  <c r="S167" i="6"/>
  <c r="T166" i="6"/>
  <c r="U166" i="6" s="1"/>
  <c r="S166" i="6"/>
  <c r="T165" i="6"/>
  <c r="U165" i="6" s="1"/>
  <c r="S165" i="6"/>
  <c r="T164" i="6"/>
  <c r="U164" i="6" s="1"/>
  <c r="S164" i="6"/>
  <c r="T163" i="6"/>
  <c r="U163" i="6" s="1"/>
  <c r="S163" i="6"/>
  <c r="T162" i="6"/>
  <c r="U162" i="6" s="1"/>
  <c r="S162" i="6"/>
  <c r="T161" i="6"/>
  <c r="U161" i="6" s="1"/>
  <c r="S161" i="6"/>
  <c r="T160" i="6"/>
  <c r="U160" i="6" s="1"/>
  <c r="S160" i="6"/>
  <c r="C44" i="30" l="1"/>
  <c r="B45" i="30"/>
  <c r="B12" i="33"/>
  <c r="D51" i="33" s="1"/>
  <c r="B7" i="32"/>
  <c r="C41" i="30"/>
  <c r="C40" i="30"/>
  <c r="B46" i="30"/>
  <c r="B34" i="33"/>
  <c r="B35" i="33"/>
  <c r="B36" i="33"/>
  <c r="C37" i="33"/>
  <c r="B42" i="33"/>
  <c r="B43" i="33"/>
  <c r="B44" i="33"/>
  <c r="C44" i="33" s="1"/>
  <c r="B37" i="32"/>
  <c r="C37" i="32" s="1"/>
  <c r="B38" i="32"/>
  <c r="C30" i="32"/>
  <c r="D30" i="32" s="1"/>
  <c r="B11" i="33"/>
  <c r="D53" i="33" s="1"/>
  <c r="C40" i="32"/>
  <c r="B38" i="31"/>
  <c r="B44" i="31" s="1"/>
  <c r="B39" i="31"/>
  <c r="B41" i="31"/>
  <c r="C41" i="31" s="1"/>
  <c r="B10" i="33"/>
  <c r="D52" i="33" s="1"/>
  <c r="C40" i="31"/>
  <c r="B37" i="29"/>
  <c r="B38" i="29"/>
  <c r="B9" i="33"/>
  <c r="D50" i="33" s="1"/>
  <c r="C39" i="29"/>
  <c r="D49" i="33"/>
  <c r="B14" i="33"/>
  <c r="J38" i="18"/>
  <c r="H14" i="18"/>
  <c r="G7" i="17"/>
  <c r="B68" i="17"/>
  <c r="G14" i="17"/>
  <c r="H5" i="17"/>
  <c r="E92" i="5"/>
  <c r="H6" i="17"/>
  <c r="B71" i="17"/>
  <c r="H10" i="17"/>
  <c r="B58" i="14"/>
  <c r="B64" i="16"/>
  <c r="H5" i="16"/>
  <c r="C58" i="14" s="1"/>
  <c r="B63" i="14"/>
  <c r="B98" i="5"/>
  <c r="H10" i="16"/>
  <c r="C63" i="14" s="1"/>
  <c r="B62" i="14"/>
  <c r="B97" i="5"/>
  <c r="H9" i="16"/>
  <c r="C62" i="14" s="1"/>
  <c r="B59" i="14"/>
  <c r="H6" i="16"/>
  <c r="C59" i="14" s="1"/>
  <c r="G8" i="16"/>
  <c r="G7" i="16"/>
  <c r="B46" i="14" a="1"/>
  <c r="B46" i="14" s="1"/>
  <c r="C46" i="14" s="1"/>
  <c r="B45" i="14"/>
  <c r="B35" i="36"/>
  <c r="B33" i="36"/>
  <c r="B94" i="22"/>
  <c r="B85" i="22"/>
  <c r="B92" i="22"/>
  <c r="B93" i="22"/>
  <c r="B89" i="22"/>
  <c r="B90" i="22"/>
  <c r="B95" i="22"/>
  <c r="C103" i="22"/>
  <c r="G103" i="22" s="1"/>
  <c r="D85" i="22"/>
  <c r="E85" i="22"/>
  <c r="B82" i="22"/>
  <c r="B83" i="22"/>
  <c r="C55" i="12"/>
  <c r="B56" i="12"/>
  <c r="F26" i="12"/>
  <c r="G20" i="12"/>
  <c r="C45" i="14" l="1"/>
  <c r="B47" i="14"/>
  <c r="C47" i="14" s="1"/>
  <c r="B60" i="14"/>
  <c r="H7" i="16"/>
  <c r="C60" i="14" s="1"/>
  <c r="B61" i="14"/>
  <c r="B96" i="5"/>
  <c r="H8" i="16"/>
  <c r="C61" i="14" s="1"/>
  <c r="B99" i="5"/>
  <c r="B65" i="16"/>
  <c r="B72" i="17"/>
  <c r="E93" i="5"/>
  <c r="H14" i="17"/>
  <c r="E91" i="5"/>
  <c r="H7" i="17"/>
  <c r="B39" i="33"/>
  <c r="C39" i="33" s="1"/>
  <c r="B15" i="33"/>
  <c r="B38" i="33" s="1"/>
  <c r="C38" i="33" s="1"/>
  <c r="B8" i="32"/>
  <c r="C38" i="29"/>
  <c r="C37" i="29"/>
  <c r="B43" i="29"/>
  <c r="C29" i="32"/>
  <c r="D29" i="32" s="1"/>
  <c r="B39" i="32"/>
  <c r="C39" i="32" s="1"/>
  <c r="C101" i="22"/>
  <c r="G101" i="22" s="1"/>
  <c r="C102" i="22"/>
  <c r="G102" i="22" s="1"/>
  <c r="C99" i="22"/>
  <c r="G99" i="22" s="1"/>
  <c r="C100" i="22"/>
  <c r="G100" i="22" s="1"/>
  <c r="F27" i="12"/>
  <c r="F31" i="12" s="1"/>
  <c r="C56" i="12"/>
  <c r="B64" i="14" l="1"/>
  <c r="B100" i="5"/>
  <c r="B58" i="12"/>
  <c r="F57" i="12"/>
  <c r="C58" i="12" l="1"/>
  <c r="B61" i="12"/>
  <c r="C61" i="12" l="1"/>
  <c r="B62" i="12"/>
  <c r="C72" i="17"/>
  <c r="C71" i="17"/>
  <c r="C70" i="17"/>
  <c r="C69" i="17"/>
  <c r="C68" i="17"/>
  <c r="C67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<sst xmlns="http://schemas.openxmlformats.org/spreadsheetml/2006/main" count="10611" uniqueCount="4822">
  <si>
    <t>Phase</t>
  </si>
  <si>
    <t>Weeks</t>
  </si>
  <si>
    <t>Biological Focus</t>
  </si>
  <si>
    <t>Activation %</t>
  </si>
  <si>
    <t>DNA Trigger</t>
  </si>
  <si>
    <t>Next Phase Condition</t>
  </si>
  <si>
    <t>0–4</t>
  </si>
  <si>
    <t>Embryogenesis</t>
  </si>
  <si>
    <t>0–10%</t>
  </si>
  <si>
    <t>DNA_INIT</t>
  </si>
  <si>
    <t>Neural plate formed</t>
  </si>
  <si>
    <t>4–8</t>
  </si>
  <si>
    <t>Organogenesis</t>
  </si>
  <si>
    <t>10–25%</t>
  </si>
  <si>
    <t>ORG_START</t>
  </si>
  <si>
    <t>Limb buds visible</t>
  </si>
  <si>
    <t>8–12</t>
  </si>
  <si>
    <t>Body Plan</t>
  </si>
  <si>
    <t>25–40%</t>
  </si>
  <si>
    <t>BODY_FORM</t>
  </si>
  <si>
    <t>Reflex seed active</t>
  </si>
  <si>
    <t>12–20</t>
  </si>
  <si>
    <t>Reflex Explosion</t>
  </si>
  <si>
    <t>40–60%</t>
  </si>
  <si>
    <t>REFLEX_ON</t>
  </si>
  <si>
    <t>Stretch reflex stable</t>
  </si>
  <si>
    <t>20–28</t>
  </si>
  <si>
    <t>Neural Maturation</t>
  </si>
  <si>
    <t>60–80%</t>
  </si>
  <si>
    <t>NEURAL_GROW</t>
  </si>
  <si>
    <t>Predictive circuits online</t>
  </si>
  <si>
    <t>28–36</t>
  </si>
  <si>
    <t>Pre‑Birth Integration</t>
  </si>
  <si>
    <t>80–95%</t>
  </si>
  <si>
    <t>INTEGRATE</t>
  </si>
  <si>
    <t>Reflexes synchronised</t>
  </si>
  <si>
    <t>36–40</t>
  </si>
  <si>
    <t>Birth Preparation</t>
  </si>
  <si>
    <t>95–100%</t>
  </si>
  <si>
    <t>BIRTH_READY</t>
  </si>
  <si>
    <t>Lungs mature</t>
  </si>
  <si>
    <t>Name</t>
  </si>
  <si>
    <t>Category</t>
  </si>
  <si>
    <t>DNA Code</t>
  </si>
  <si>
    <t>Start Week</t>
  </si>
  <si>
    <t>End Week</t>
  </si>
  <si>
    <t>Growth Curve</t>
  </si>
  <si>
    <t>Domain</t>
  </si>
  <si>
    <t>Current Week</t>
  </si>
  <si>
    <t>Growth Status</t>
  </si>
  <si>
    <t>Parent</t>
  </si>
  <si>
    <t>Local X</t>
  </si>
  <si>
    <t>Local Y</t>
  </si>
  <si>
    <t>Local Z</t>
  </si>
  <si>
    <t>Connection Type</t>
  </si>
  <si>
    <t>Dynamic X</t>
  </si>
  <si>
    <t>Dynamic Y</t>
  </si>
  <si>
    <t>Dynamic Z</t>
  </si>
  <si>
    <t>Tension Vector</t>
  </si>
  <si>
    <t>Tension Magnitude</t>
  </si>
  <si>
    <t>Tension Status</t>
  </si>
  <si>
    <t>Frontal Bone</t>
  </si>
  <si>
    <t>Skeleton</t>
  </si>
  <si>
    <t>SK_FRONTAL</t>
  </si>
  <si>
    <t>Sigmoid</t>
  </si>
  <si>
    <t>Embodiment</t>
  </si>
  <si>
    <t>Point 0</t>
  </si>
  <si>
    <t>Suture</t>
  </si>
  <si>
    <t>Parietal Bone (Left)</t>
  </si>
  <si>
    <t>SK_PAR_L</t>
  </si>
  <si>
    <t>Parietal Bone (Right)</t>
  </si>
  <si>
    <t>SK_PAR_R</t>
  </si>
  <si>
    <t>Temporal Bone (Left)</t>
  </si>
  <si>
    <t>SK_TEMP_L</t>
  </si>
  <si>
    <t>Temporal Bone (Right)</t>
  </si>
  <si>
    <t>SK_TEMP_R</t>
  </si>
  <si>
    <t>Occipital Bone</t>
  </si>
  <si>
    <t>SK_OCCIPITAL</t>
  </si>
  <si>
    <t>Sphenoid Bone</t>
  </si>
  <si>
    <t>SK_SPHENOID</t>
  </si>
  <si>
    <t>Ethmoid Bone</t>
  </si>
  <si>
    <t>SK_ETHMOID</t>
  </si>
  <si>
    <t>Nasal Bone (Left)</t>
  </si>
  <si>
    <t>SK_NASAL_L</t>
  </si>
  <si>
    <t>Nasal Bone (Right)</t>
  </si>
  <si>
    <t>SK_NASAL_R</t>
  </si>
  <si>
    <t>Lacrimal Bone (Left)</t>
  </si>
  <si>
    <t>SK_LACRIMAL_L</t>
  </si>
  <si>
    <t>Lacrimal Bone (Right)</t>
  </si>
  <si>
    <t>SK_LACRIMAL_R</t>
  </si>
  <si>
    <t>Zygomatic Bone (Left)</t>
  </si>
  <si>
    <t>SK_ZYGO_L</t>
  </si>
  <si>
    <t>Zygomatic Bone (Right)</t>
  </si>
  <si>
    <t>SK_ZYGO_R</t>
  </si>
  <si>
    <t>Maxilla (Left)</t>
  </si>
  <si>
    <t>SK_MAX_L</t>
  </si>
  <si>
    <t>Maxilla (Right)</t>
  </si>
  <si>
    <t>SK_MAX_R</t>
  </si>
  <si>
    <t>Mandible</t>
  </si>
  <si>
    <t>SK_MANDIBLE</t>
  </si>
  <si>
    <t>TMJ</t>
  </si>
  <si>
    <t>Palatine Bone (Left)</t>
  </si>
  <si>
    <t>SK_PAL_L</t>
  </si>
  <si>
    <t>Palatine Bone (Right)</t>
  </si>
  <si>
    <t>SK_PAL_R</t>
  </si>
  <si>
    <t>Inferior Nasal Concha (Left)</t>
  </si>
  <si>
    <t>SK_CONCHA_L</t>
  </si>
  <si>
    <t>Inferior Nasal Concha (Right)</t>
  </si>
  <si>
    <t>SK_CONCHA_R</t>
  </si>
  <si>
    <t>Vomer</t>
  </si>
  <si>
    <t>SK_VOMER</t>
  </si>
  <si>
    <t>Malleus (Left)</t>
  </si>
  <si>
    <t>SK_MAL_L</t>
  </si>
  <si>
    <t>Synovial</t>
  </si>
  <si>
    <t>Malleus (Right)</t>
  </si>
  <si>
    <t>SK_MAL_R</t>
  </si>
  <si>
    <t>Incus (Left)</t>
  </si>
  <si>
    <t>SK_INC_L</t>
  </si>
  <si>
    <t>Incus (Right)</t>
  </si>
  <si>
    <t>SK_INC_R</t>
  </si>
  <si>
    <t>Stapes (Left)</t>
  </si>
  <si>
    <t>SK_STAP_L</t>
  </si>
  <si>
    <t>Stapes (Right)</t>
  </si>
  <si>
    <t>SK_STAP_R</t>
  </si>
  <si>
    <t>Hyoid</t>
  </si>
  <si>
    <t>SK_HYOID</t>
  </si>
  <si>
    <t>Suspended</t>
  </si>
  <si>
    <t>Cervical Vertebrae (C1–C7)</t>
  </si>
  <si>
    <t>SK_CERV</t>
  </si>
  <si>
    <t>Root</t>
  </si>
  <si>
    <t>Thoracic Vertebrae (T1–T12)</t>
  </si>
  <si>
    <t>SK_THOR</t>
  </si>
  <si>
    <t>Intervertebral</t>
  </si>
  <si>
    <t>Lumbar Vertebrae (L1–L5)</t>
  </si>
  <si>
    <t>SK_LUMB</t>
  </si>
  <si>
    <t>Sacrum</t>
  </si>
  <si>
    <t>SK_SACRUM</t>
  </si>
  <si>
    <t>Sacroiliac</t>
  </si>
  <si>
    <t>Coccyx</t>
  </si>
  <si>
    <t>SK_COCCYX</t>
  </si>
  <si>
    <t>Fused</t>
  </si>
  <si>
    <t>Ribs (1–12 Left)</t>
  </si>
  <si>
    <t>SK_RIB_L</t>
  </si>
  <si>
    <t>Costovertebral</t>
  </si>
  <si>
    <t>Ribs (1–12 Right)</t>
  </si>
  <si>
    <t>SK_RIB_R</t>
  </si>
  <si>
    <t>Sternum</t>
  </si>
  <si>
    <t>SK_STERNUM</t>
  </si>
  <si>
    <t>Cartilaginous</t>
  </si>
  <si>
    <t>Clavicle (Left)</t>
  </si>
  <si>
    <t>SK_CLAV_L</t>
  </si>
  <si>
    <t>SC Joint</t>
  </si>
  <si>
    <t>Clavicle (Right)</t>
  </si>
  <si>
    <t>SK_CLAV_R</t>
  </si>
  <si>
    <t>Scapula (Left)</t>
  </si>
  <si>
    <t>SK_SCAP_L</t>
  </si>
  <si>
    <t>AC Joint</t>
  </si>
  <si>
    <t>Scapula (Right)</t>
  </si>
  <si>
    <t>SK_SCAP_R</t>
  </si>
  <si>
    <t>Humerus (Left)</t>
  </si>
  <si>
    <t>SK_HUM_L</t>
  </si>
  <si>
    <t>Ball-Socket</t>
  </si>
  <si>
    <t>Humerus (Right)</t>
  </si>
  <si>
    <t>SK_HUM_R</t>
  </si>
  <si>
    <t>Radius (Left)</t>
  </si>
  <si>
    <t>SK_RAD_L</t>
  </si>
  <si>
    <t>Hinge</t>
  </si>
  <si>
    <t>Radius (Right)</t>
  </si>
  <si>
    <t>SK_RAD_R</t>
  </si>
  <si>
    <t>Ulna (Left)</t>
  </si>
  <si>
    <t>SK_ULNA_L</t>
  </si>
  <si>
    <t>Pivot</t>
  </si>
  <si>
    <t>Ulna (Right)</t>
  </si>
  <si>
    <t>SK_ULNA_R</t>
  </si>
  <si>
    <t>Carpals (Left)</t>
  </si>
  <si>
    <t>SK_CARP_L</t>
  </si>
  <si>
    <t>Gliding</t>
  </si>
  <si>
    <t>Carpals (Right)</t>
  </si>
  <si>
    <t>SK_CARP_R</t>
  </si>
  <si>
    <t>Metacarpals (Left)</t>
  </si>
  <si>
    <t>SK_META_L</t>
  </si>
  <si>
    <t>Condyloid</t>
  </si>
  <si>
    <t>Metacarpals (Right)</t>
  </si>
  <si>
    <t>SK_META_R</t>
  </si>
  <si>
    <t>Phalanges (Left Hand)</t>
  </si>
  <si>
    <t>SK_PHAL_HAND_L</t>
  </si>
  <si>
    <t>Phalanges (Right Hand)</t>
  </si>
  <si>
    <t>SK_PHAL_HAND_R</t>
  </si>
  <si>
    <t>Hip Bone (Left)</t>
  </si>
  <si>
    <t>SK_HIP_L</t>
  </si>
  <si>
    <t>Hip Bone (Right)</t>
  </si>
  <si>
    <t>SK_HIP_R</t>
  </si>
  <si>
    <t>Femur (Left)</t>
  </si>
  <si>
    <t>SK_FEM_L</t>
  </si>
  <si>
    <t>Femur (Right)</t>
  </si>
  <si>
    <t>SK_FEM_R</t>
  </si>
  <si>
    <t>Patella (Left)</t>
  </si>
  <si>
    <t>SK_PAT_L</t>
  </si>
  <si>
    <t>Sesamoid</t>
  </si>
  <si>
    <t>Patella (Right)</t>
  </si>
  <si>
    <t>SK_PAT_R</t>
  </si>
  <si>
    <t>Tibia (Left)</t>
  </si>
  <si>
    <t>SK_TIB_L</t>
  </si>
  <si>
    <t>Tibia (Right)</t>
  </si>
  <si>
    <t>SK_TIB_R</t>
  </si>
  <si>
    <t>Fibula (Left)</t>
  </si>
  <si>
    <t>SK_FIB_L</t>
  </si>
  <si>
    <t>Syndesmosis</t>
  </si>
  <si>
    <t>Fibula (Right)</t>
  </si>
  <si>
    <t>SK_FIB_R</t>
  </si>
  <si>
    <t>Tarsals (Left)</t>
  </si>
  <si>
    <t>SK_TARS_L</t>
  </si>
  <si>
    <t>Tarsals (Right)</t>
  </si>
  <si>
    <t>SK_TARS_R</t>
  </si>
  <si>
    <t>Metatarsals (Left)</t>
  </si>
  <si>
    <t>SK_MTARS_L</t>
  </si>
  <si>
    <t>Metatarsals (Right)</t>
  </si>
  <si>
    <t>SK_MTARS_R</t>
  </si>
  <si>
    <t>Phalanges (Left Foot)</t>
  </si>
  <si>
    <t>SK_PHAL_FOOT_L</t>
  </si>
  <si>
    <t>Phalanges (Right Foot)</t>
  </si>
  <si>
    <t>SK_PHAL_FOOT_R</t>
  </si>
  <si>
    <t>Heart</t>
  </si>
  <si>
    <t>Organ</t>
  </si>
  <si>
    <t>ORG_HEART</t>
  </si>
  <si>
    <t>Lungs</t>
  </si>
  <si>
    <t>ORG_LUNGS</t>
  </si>
  <si>
    <t>Liver</t>
  </si>
  <si>
    <t>ORG_LIVER</t>
  </si>
  <si>
    <t>Ligament</t>
  </si>
  <si>
    <t>Stomach</t>
  </si>
  <si>
    <t>ORG_STOMACH</t>
  </si>
  <si>
    <t>Small Intestine</t>
  </si>
  <si>
    <t>ORG_SI</t>
  </si>
  <si>
    <t>Mesentery</t>
  </si>
  <si>
    <t>Large Intestine</t>
  </si>
  <si>
    <t>ORG_LI</t>
  </si>
  <si>
    <t>Pancreas</t>
  </si>
  <si>
    <t>ORG_PANCREAS</t>
  </si>
  <si>
    <t>Gallbladder</t>
  </si>
  <si>
    <t>ORG_GALL</t>
  </si>
  <si>
    <t>Kidneys</t>
  </si>
  <si>
    <t>ORG_KIDNEY</t>
  </si>
  <si>
    <t>Retroperitoneal</t>
  </si>
  <si>
    <t>Bladder</t>
  </si>
  <si>
    <t>ORG_BLADDER</t>
  </si>
  <si>
    <t>Urethra</t>
  </si>
  <si>
    <t>ORG_URETHRA</t>
  </si>
  <si>
    <t>Spleen</t>
  </si>
  <si>
    <t>ORG_SPLEEN</t>
  </si>
  <si>
    <t>Thymus</t>
  </si>
  <si>
    <t>ORG_THYMUS</t>
  </si>
  <si>
    <t>Mediastinal</t>
  </si>
  <si>
    <t>Brain (Cerebrum)</t>
  </si>
  <si>
    <t>ORG_BRAIN_CER</t>
  </si>
  <si>
    <t>Exponential</t>
  </si>
  <si>
    <t>Neural Processing</t>
  </si>
  <si>
    <t>Cranial</t>
  </si>
  <si>
    <t>Cerebellum</t>
  </si>
  <si>
    <t>ORG_BRAIN_CBL</t>
  </si>
  <si>
    <t>Brainstem</t>
  </si>
  <si>
    <t>ORG_BRAIN_STEM</t>
  </si>
  <si>
    <t>Spinal Cord</t>
  </si>
  <si>
    <t>ORG_SPINAL</t>
  </si>
  <si>
    <t>Vertebral</t>
  </si>
  <si>
    <t>Pituitary Gland</t>
  </si>
  <si>
    <t>ORG_PITUITARY</t>
  </si>
  <si>
    <t>Endocrine</t>
  </si>
  <si>
    <t>Pineal Gland</t>
  </si>
  <si>
    <t>ORG_PINEAL</t>
  </si>
  <si>
    <t>Thyroid Gland</t>
  </si>
  <si>
    <t>ORG_THYROID</t>
  </si>
  <si>
    <t>Parathyroid Gland</t>
  </si>
  <si>
    <t>ORG_PARATHY</t>
  </si>
  <si>
    <t>Adrenal Glands</t>
  </si>
  <si>
    <t>ORG_ADRENAL</t>
  </si>
  <si>
    <t>Ovaries/Testes</t>
  </si>
  <si>
    <t>ORG_GONADS</t>
  </si>
  <si>
    <t>Uterus</t>
  </si>
  <si>
    <t>ORG_UTERUS</t>
  </si>
  <si>
    <t>Prostate</t>
  </si>
  <si>
    <t>ORG_PROSTATE</t>
  </si>
  <si>
    <t>Fallopian Tubes</t>
  </si>
  <si>
    <t>ORG_FALLOPIAN</t>
  </si>
  <si>
    <t>Esophagus</t>
  </si>
  <si>
    <t>ORG_ESOPH</t>
  </si>
  <si>
    <t>Trachea</t>
  </si>
  <si>
    <t>ORG_TRACHEA</t>
  </si>
  <si>
    <t>Bronchi</t>
  </si>
  <si>
    <t>ORG_BRONCHI</t>
  </si>
  <si>
    <t>Diaphragm</t>
  </si>
  <si>
    <t>ORG_DIAPHRAGM</t>
  </si>
  <si>
    <t>Motor Control</t>
  </si>
  <si>
    <t>Skin</t>
  </si>
  <si>
    <t>ORG_SKIN</t>
  </si>
  <si>
    <t>Fascial</t>
  </si>
  <si>
    <t>Eyes</t>
  </si>
  <si>
    <t>ORG_EYES</t>
  </si>
  <si>
    <t>Sensing</t>
  </si>
  <si>
    <t>Orbital</t>
  </si>
  <si>
    <t>Ears</t>
  </si>
  <si>
    <t>ORG_EARS</t>
  </si>
  <si>
    <t>Temporal</t>
  </si>
  <si>
    <t>Nose</t>
  </si>
  <si>
    <t>ORG_NOSE</t>
  </si>
  <si>
    <t>Tongue</t>
  </si>
  <si>
    <t>ORG_TONGUE</t>
  </si>
  <si>
    <t>Muscular</t>
  </si>
  <si>
    <t>Masseter</t>
  </si>
  <si>
    <t>Muscle</t>
  </si>
  <si>
    <t>MS_MASSETER</t>
  </si>
  <si>
    <t>Tendon</t>
  </si>
  <si>
    <t>Temporalis</t>
  </si>
  <si>
    <t>MS_TEMPORALIS</t>
  </si>
  <si>
    <t>Sternocleidomastoid</t>
  </si>
  <si>
    <t>MS_STERNO</t>
  </si>
  <si>
    <t>Trapezius</t>
  </si>
  <si>
    <t>MS_TRAPEZIUS</t>
  </si>
  <si>
    <t>Pectoralis Major</t>
  </si>
  <si>
    <t>MS_PECT_MAJOR</t>
  </si>
  <si>
    <t>Pectoralis Minor</t>
  </si>
  <si>
    <t>MS_PECT_MINOR</t>
  </si>
  <si>
    <t>Rectus Abdominis</t>
  </si>
  <si>
    <t>MS_RECT_ABD</t>
  </si>
  <si>
    <t>External Oblique</t>
  </si>
  <si>
    <t>MS_EXT_OBL</t>
  </si>
  <si>
    <t>Internal Oblique</t>
  </si>
  <si>
    <t>MS_INT_OBL</t>
  </si>
  <si>
    <t>Transverse Abdominis</t>
  </si>
  <si>
    <t>MS_TRANS_ABD</t>
  </si>
  <si>
    <t>Latissimus Dorsi</t>
  </si>
  <si>
    <t>MS_LAT_DORSI</t>
  </si>
  <si>
    <t>Erector Spinae</t>
  </si>
  <si>
    <t>MS_ERECTOR</t>
  </si>
  <si>
    <t>Biceps Brachii</t>
  </si>
  <si>
    <t>MS_BICEPS</t>
  </si>
  <si>
    <t>Triceps Brachii</t>
  </si>
  <si>
    <t>MS_TRICEPS</t>
  </si>
  <si>
    <t>Brachialis</t>
  </si>
  <si>
    <t>MS_BRACHIALIS</t>
  </si>
  <si>
    <t>Brachioradialis</t>
  </si>
  <si>
    <t>MS_BRACHIORAD</t>
  </si>
  <si>
    <t>Flexor Carpi Radialis</t>
  </si>
  <si>
    <t>MS_FLEX_RAD</t>
  </si>
  <si>
    <t>Flexor Carpi Ulnaris</t>
  </si>
  <si>
    <t>MS_FLEX_ULN</t>
  </si>
  <si>
    <t>Extensor Carpi Radialis</t>
  </si>
  <si>
    <t>MS_EXT_RAD</t>
  </si>
  <si>
    <t>Extensor Carpi Ulnaris</t>
  </si>
  <si>
    <t>MS_EXT_ULN</t>
  </si>
  <si>
    <t>Quadriceps Group</t>
  </si>
  <si>
    <t>MS_QUAD</t>
  </si>
  <si>
    <t>Hamstrings Group</t>
  </si>
  <si>
    <t>MS_HAM</t>
  </si>
  <si>
    <t>Gluteus Maximus</t>
  </si>
  <si>
    <t>MS_GLUT_MAX</t>
  </si>
  <si>
    <t>Gluteus Medius</t>
  </si>
  <si>
    <t>MS_GLUT_MED</t>
  </si>
  <si>
    <t>Gluteus Minimus</t>
  </si>
  <si>
    <t>MS_GLUT_MIN</t>
  </si>
  <si>
    <t>Gastrocnemius</t>
  </si>
  <si>
    <t>MS_GASTROC</t>
  </si>
  <si>
    <t>Soleus</t>
  </si>
  <si>
    <t>MS_SOLEUS</t>
  </si>
  <si>
    <t>Tibialis Anterior</t>
  </si>
  <si>
    <t>MS_TIB_ANT</t>
  </si>
  <si>
    <t>Peroneals</t>
  </si>
  <si>
    <t>MS_PERONEAL</t>
  </si>
  <si>
    <t>Deltoid</t>
  </si>
  <si>
    <t>MS_DELTOID</t>
  </si>
  <si>
    <t>Serratus Anterior</t>
  </si>
  <si>
    <t>MS_SERRATUS</t>
  </si>
  <si>
    <t>Intercostals</t>
  </si>
  <si>
    <t>MS_INTERCOSTAL</t>
  </si>
  <si>
    <t>MS_DIAPHRAGM</t>
  </si>
  <si>
    <t>Orbicularis Oculi</t>
  </si>
  <si>
    <t>MS_ORB_OCULI</t>
  </si>
  <si>
    <t>Orbicularis Oris</t>
  </si>
  <si>
    <t>MS_ORB_ORIS</t>
  </si>
  <si>
    <t>Buccinator</t>
  </si>
  <si>
    <t>MS_BUCCINATOR</t>
  </si>
  <si>
    <t>Levator Scapulae</t>
  </si>
  <si>
    <t>MS_LEV_SCAP</t>
  </si>
  <si>
    <t>Rhomboid Major</t>
  </si>
  <si>
    <t>MS_RHOM_MAJOR</t>
  </si>
  <si>
    <t>Rhomboid Minor</t>
  </si>
  <si>
    <t>MS_RHOM_MINOR</t>
  </si>
  <si>
    <t>Supraspinatus</t>
  </si>
  <si>
    <t>MS_SUPRA</t>
  </si>
  <si>
    <t>Infraspinatus</t>
  </si>
  <si>
    <t>MS_INFRA</t>
  </si>
  <si>
    <t>Teres Major</t>
  </si>
  <si>
    <t>MS_TER_MAJOR</t>
  </si>
  <si>
    <t>Teres Minor</t>
  </si>
  <si>
    <t>MS_TER_MINOR</t>
  </si>
  <si>
    <t>Subscapularis</t>
  </si>
  <si>
    <t>MS_SUBSCAP</t>
  </si>
  <si>
    <t>Adductor Group</t>
  </si>
  <si>
    <t>MS_ADDUCTOR</t>
  </si>
  <si>
    <t>Abductor Group</t>
  </si>
  <si>
    <t>MS_ABDUCTOR</t>
  </si>
  <si>
    <t>Iliopsoas</t>
  </si>
  <si>
    <t>MS_ILIOPSOAS</t>
  </si>
  <si>
    <t>Rectus Femoris</t>
  </si>
  <si>
    <t>MS_RECT_FEM</t>
  </si>
  <si>
    <t>Vastus Lateralis</t>
  </si>
  <si>
    <t>MS_VAST_LAT</t>
  </si>
  <si>
    <t>Vastus Medialis</t>
  </si>
  <si>
    <t>MS_VAST_MED</t>
  </si>
  <si>
    <t>Vastus Intermedius</t>
  </si>
  <si>
    <t>MS_VAST_INT</t>
  </si>
  <si>
    <t>Semitendinosus</t>
  </si>
  <si>
    <t>MS_SEMITEN</t>
  </si>
  <si>
    <t>Semimembranosus</t>
  </si>
  <si>
    <t>MS_SEMIMEM</t>
  </si>
  <si>
    <t>Biceps Femoris</t>
  </si>
  <si>
    <t>MS_BIC_FEM</t>
  </si>
  <si>
    <t>Patellar Tendon</t>
  </si>
  <si>
    <t>Connective</t>
  </si>
  <si>
    <t>CT_PAT_TEND</t>
  </si>
  <si>
    <t>Achilles Tendon</t>
  </si>
  <si>
    <t>CT_ACH_TEND</t>
  </si>
  <si>
    <t>Biceps Tendon</t>
  </si>
  <si>
    <t>CT_BIC_TEND</t>
  </si>
  <si>
    <t>Triceps Tendon</t>
  </si>
  <si>
    <t>CT_TRI_TEND</t>
  </si>
  <si>
    <t>Rotator Cuff Tendons</t>
  </si>
  <si>
    <t>CT_ROT_CUFF</t>
  </si>
  <si>
    <t>Anterior Cruciate Ligament</t>
  </si>
  <si>
    <t>CT_ACL</t>
  </si>
  <si>
    <t>Posterior Cruciate Ligament</t>
  </si>
  <si>
    <t>CT_PCL</t>
  </si>
  <si>
    <t>Medial Collateral Ligament</t>
  </si>
  <si>
    <t>CT_MCL</t>
  </si>
  <si>
    <t>Lateral Collateral Ligament</t>
  </si>
  <si>
    <t>CT_LCL</t>
  </si>
  <si>
    <t>Interspinous Ligament</t>
  </si>
  <si>
    <t>CT_INTERSPIN</t>
  </si>
  <si>
    <t>Glenohumeral Ligament</t>
  </si>
  <si>
    <t>CT_GLENOHUM</t>
  </si>
  <si>
    <t>Iliofemoral Ligament</t>
  </si>
  <si>
    <t>CT_ILIOFEM</t>
  </si>
  <si>
    <t>Pubofemoral Ligament</t>
  </si>
  <si>
    <t>CT_PUBOFEM</t>
  </si>
  <si>
    <t>Ischiofemoral Ligament</t>
  </si>
  <si>
    <t>CT_ISCHIOFEM</t>
  </si>
  <si>
    <t>🧠 NEURAL CONTROL MAPPING TABLE</t>
  </si>
  <si>
    <t>Controlled Structure</t>
  </si>
  <si>
    <t>Neural Region</t>
  </si>
  <si>
    <t>Control Type</t>
  </si>
  <si>
    <t>Signal Pathway</t>
  </si>
  <si>
    <t>Feedback Source</t>
  </si>
  <si>
    <t>Activation Week</t>
  </si>
  <si>
    <t>Full Maturity Week</t>
  </si>
  <si>
    <t>Neural Status</t>
  </si>
  <si>
    <t>Maturity %</t>
  </si>
  <si>
    <t>Motor Cortex</t>
  </si>
  <si>
    <t>Hip Joint (L/R)</t>
  </si>
  <si>
    <t>Cortical Motor</t>
  </si>
  <si>
    <t>Voluntary</t>
  </si>
  <si>
    <t>Descending Corticospinal</t>
  </si>
  <si>
    <t>Muscle Spindles</t>
  </si>
  <si>
    <t>Shoulder Joint (L/R)</t>
  </si>
  <si>
    <t>Elbow Joint (L/R)</t>
  </si>
  <si>
    <t>Wrist Joint (L/R)</t>
  </si>
  <si>
    <t>Ankle Joint (L/R)</t>
  </si>
  <si>
    <t>Subcortical Motor</t>
  </si>
  <si>
    <t>Coordinative</t>
  </si>
  <si>
    <t>Cerebellar Feedback</t>
  </si>
  <si>
    <t>Joint Receptors</t>
  </si>
  <si>
    <t>Spinal Segments</t>
  </si>
  <si>
    <t>Stabilisation</t>
  </si>
  <si>
    <t>Proprioceptors</t>
  </si>
  <si>
    <t>Jaw Joint</t>
  </si>
  <si>
    <t>Autonomic</t>
  </si>
  <si>
    <t>Reflexive</t>
  </si>
  <si>
    <t>Trigeminal Pathway</t>
  </si>
  <si>
    <t>Stretch Receptors</t>
  </si>
  <si>
    <t>Reflexes</t>
  </si>
  <si>
    <t>Neck Joint</t>
  </si>
  <si>
    <t>Vestibulospinal Pathway</t>
  </si>
  <si>
    <t>Vestibular Apparatus</t>
  </si>
  <si>
    <t>Knee Joint (L/R)</t>
  </si>
  <si>
    <t>Segmental</t>
  </si>
  <si>
    <t>Spinal Reflex Arc</t>
  </si>
  <si>
    <t>Cerebrum</t>
  </si>
  <si>
    <t>Eye Muscles</t>
  </si>
  <si>
    <t>Cortical Sensory</t>
  </si>
  <si>
    <t>Optic Pathway</t>
  </si>
  <si>
    <t>Retinal Feedback</t>
  </si>
  <si>
    <t>Facial Muscles</t>
  </si>
  <si>
    <t>Facial Nerve Pathway</t>
  </si>
  <si>
    <t>Touch Receptors</t>
  </si>
  <si>
    <t>Postural Muscles</t>
  </si>
  <si>
    <t>Autonomic System</t>
  </si>
  <si>
    <t>Homeostatic</t>
  </si>
  <si>
    <t>Vagal Pathway</t>
  </si>
  <si>
    <t>Baroreceptors</t>
  </si>
  <si>
    <t>Chemoreceptors</t>
  </si>
  <si>
    <t>Rhythmic</t>
  </si>
  <si>
    <t>Phrenic Nerve Pathway</t>
  </si>
  <si>
    <t>an</t>
  </si>
  <si>
    <t>Organ/System</t>
  </si>
  <si>
    <t>Activation Event</t>
  </si>
  <si>
    <t>Notes</t>
  </si>
  <si>
    <t>Neural Plate</t>
  </si>
  <si>
    <t>Formation</t>
  </si>
  <si>
    <t>NP_FORM</t>
  </si>
  <si>
    <t>Primitive streak defines axes</t>
  </si>
  <si>
    <t>Chamber partition</t>
  </si>
  <si>
    <t>HT_PART</t>
  </si>
  <si>
    <t>First rhythmic contractions</t>
  </si>
  <si>
    <t>Limbs</t>
  </si>
  <si>
    <t>Differentiation</t>
  </si>
  <si>
    <t>LM_DIFF</t>
  </si>
  <si>
    <t>Fingers/toes separate</t>
  </si>
  <si>
    <t>Reflex Arcs</t>
  </si>
  <si>
    <t>Activation</t>
  </si>
  <si>
    <t>RF_ACT</t>
  </si>
  <si>
    <t>Stretch reflex online</t>
  </si>
  <si>
    <t>Growth</t>
  </si>
  <si>
    <t>CB_GROW</t>
  </si>
  <si>
    <t>Predictive control begins</t>
  </si>
  <si>
    <t>Myelination</t>
  </si>
  <si>
    <t>Neural insulation</t>
  </si>
  <si>
    <t>MYEL_ON</t>
  </si>
  <si>
    <t>Faster reflex transmission</t>
  </si>
  <si>
    <t>Maturation</t>
  </si>
  <si>
    <t>LG_MAT</t>
  </si>
  <si>
    <t>Ready for external oxygen</t>
  </si>
  <si>
    <t>Tick ID</t>
  </si>
  <si>
    <t>Week</t>
  </si>
  <si>
    <t>DNA Phase</t>
  </si>
  <si>
    <t>Growth Factor</t>
  </si>
  <si>
    <t>Neural Gain</t>
  </si>
  <si>
    <t>Reflex Gain</t>
  </si>
  <si>
    <t>Identity Confidence</t>
  </si>
  <si>
    <t>T000</t>
  </si>
  <si>
    <t>T500</t>
  </si>
  <si>
    <t>T1000</t>
  </si>
  <si>
    <t>T1500</t>
  </si>
  <si>
    <t>T2000</t>
  </si>
  <si>
    <t>T2500</t>
  </si>
  <si>
    <t>T3000</t>
  </si>
  <si>
    <t>T3200</t>
  </si>
  <si>
    <t>Birth Event</t>
  </si>
  <si>
    <t>T3600</t>
  </si>
  <si>
    <t>Early Infant</t>
  </si>
  <si>
    <t>T4000</t>
  </si>
  <si>
    <t>T4800</t>
  </si>
  <si>
    <t>Late Infant</t>
  </si>
  <si>
    <t>T5600</t>
  </si>
  <si>
    <t>T6400</t>
  </si>
  <si>
    <t>T7200</t>
  </si>
  <si>
    <t>Toddler</t>
  </si>
  <si>
    <t>T8000</t>
  </si>
  <si>
    <t>T10000</t>
  </si>
  <si>
    <t>Early Childhood</t>
  </si>
  <si>
    <t>🧬 A7DO DNA LOOP ENGINE</t>
  </si>
  <si>
    <t>⚙️ CONTROL PANEL</t>
  </si>
  <si>
    <t>🫀 ORGAN ACTIVATION STATUS</t>
  </si>
  <si>
    <t>Current Tick:</t>
  </si>
  <si>
    <t>Status</t>
  </si>
  <si>
    <t>Current Week:</t>
  </si>
  <si>
    <t>Birth Tick:</t>
  </si>
  <si>
    <t>Nutrient Flow Rate:</t>
  </si>
  <si>
    <t>Simulation Status:</t>
  </si>
  <si>
    <t>📖 PHASE READER</t>
  </si>
  <si>
    <t>Active Phase #:</t>
  </si>
  <si>
    <t>DNA Phase Name:</t>
  </si>
  <si>
    <t>DNA Trigger Code:</t>
  </si>
  <si>
    <t>🔁 TICK ADVANCE LOGIC</t>
  </si>
  <si>
    <t>Biological Focus:</t>
  </si>
  <si>
    <t>Next Tick ID:</t>
  </si>
  <si>
    <t>Next Phase Condition:</t>
  </si>
  <si>
    <t>Ticks to Birth:</t>
  </si>
  <si>
    <t>Progress %:</t>
  </si>
  <si>
    <t>⚡ GROWTH ENGINE</t>
  </si>
  <si>
    <t>Time Remaining:</t>
  </si>
  <si>
    <t>Growth Factor:</t>
  </si>
  <si>
    <t>Phase Complete In:</t>
  </si>
  <si>
    <t>Neural Gain:</t>
  </si>
  <si>
    <t>Reflex Gain:</t>
  </si>
  <si>
    <t>Identity Confidence:</t>
  </si>
  <si>
    <t>🩸 UMBILICAL CORD DRIVER</t>
  </si>
  <si>
    <t>Nutrient Delivery:</t>
  </si>
  <si>
    <t>DNA Push Rate:</t>
  </si>
  <si>
    <t>Oxygen Transfer:</t>
  </si>
  <si>
    <t>Cord Status:</t>
  </si>
  <si>
    <t>Effective Growth:</t>
  </si>
  <si>
    <t>🧭 POINT 0 — CENTRAL ORIGIN</t>
  </si>
  <si>
    <t>Parameter</t>
  </si>
  <si>
    <t>Value</t>
  </si>
  <si>
    <t>Unit</t>
  </si>
  <si>
    <t>📐 COORDINATE SYSTEM</t>
  </si>
  <si>
    <t>X₀ (Horizontal)</t>
  </si>
  <si>
    <t>m</t>
  </si>
  <si>
    <t>Axis</t>
  </si>
  <si>
    <t>Direction</t>
  </si>
  <si>
    <t>Y₀ (Vertical)</t>
  </si>
  <si>
    <t>+X</t>
  </si>
  <si>
    <t>Right</t>
  </si>
  <si>
    <t>Z₀ (Depth)</t>
  </si>
  <si>
    <t>-X</t>
  </si>
  <si>
    <t>Left</t>
  </si>
  <si>
    <t>+Y</t>
  </si>
  <si>
    <t>Up (Head)</t>
  </si>
  <si>
    <t>Reference Point:</t>
  </si>
  <si>
    <t>Pelvis Centre</t>
  </si>
  <si>
    <t>-Y</t>
  </si>
  <si>
    <t>Down (Feet)</t>
  </si>
  <si>
    <t>Body Height Factor:</t>
  </si>
  <si>
    <t>+Z</t>
  </si>
  <si>
    <t>Forward</t>
  </si>
  <si>
    <t>Body Width Factor:</t>
  </si>
  <si>
    <t>-Z</t>
  </si>
  <si>
    <t>Backward</t>
  </si>
  <si>
    <t>🔗 SPATIAL COHERENCE</t>
  </si>
  <si>
    <t>All coordinates relative to Point 0</t>
  </si>
  <si>
    <t>🧠 NEURAL CONTROL SUMMARY</t>
  </si>
  <si>
    <t>Control Hierarchy</t>
  </si>
  <si>
    <t>Region</t>
  </si>
  <si>
    <t>Pathways</t>
  </si>
  <si>
    <t>Sensory</t>
  </si>
  <si>
    <t>Total Neural Pathways:</t>
  </si>
  <si>
    <t>❤️ CIRCULATORY SYSTEM DASHBOARD</t>
  </si>
  <si>
    <t>Heart Rate (BPM):</t>
  </si>
  <si>
    <t>BPM</t>
  </si>
  <si>
    <t>💓 Heartbeat:</t>
  </si>
  <si>
    <t>Cardiac Output (L/min):</t>
  </si>
  <si>
    <t>L/min</t>
  </si>
  <si>
    <t>Pulse Pattern:</t>
  </si>
  <si>
    <t>Blood Flow (L/min):</t>
  </si>
  <si>
    <t>Oxygen Demand:</t>
  </si>
  <si>
    <t>(0-1)</t>
  </si>
  <si>
    <t>🩸 Cord Flow:</t>
  </si>
  <si>
    <t>Baroreceptor Feedback:</t>
  </si>
  <si>
    <t>Stroke Volume (mL):</t>
  </si>
  <si>
    <t>mL</t>
  </si>
  <si>
    <t>🫀 Chamber Activity:</t>
  </si>
  <si>
    <t>Blood Pressure Status:</t>
  </si>
  <si>
    <t>🩸 Blood Volume:</t>
  </si>
  <si>
    <t>Circulatory Maturity:</t>
  </si>
  <si>
    <t>Circulatory Status:</t>
  </si>
  <si>
    <t>🫁 RESPIRATORY SYSTEM DASHBOARD</t>
  </si>
  <si>
    <t>Breathing Rate (BPM):</t>
  </si>
  <si>
    <t>🌬️ Breath Pattern:</t>
  </si>
  <si>
    <t>Tidal Volume (mL):</t>
  </si>
  <si>
    <t>Lung Expansion:</t>
  </si>
  <si>
    <t>Oxygen Level:</t>
  </si>
  <si>
    <t>CO₂ Level:</t>
  </si>
  <si>
    <t>🫁 Alveoli Status:</t>
  </si>
  <si>
    <t>Exchange Efficiency:</t>
  </si>
  <si>
    <t>%</t>
  </si>
  <si>
    <t>Chemoreceptor Feedback:</t>
  </si>
  <si>
    <t>🔄 Diaphragm Cycle:</t>
  </si>
  <si>
    <t>Airflow Rate:</t>
  </si>
  <si>
    <t>Respiratory Maturity:</t>
  </si>
  <si>
    <t>Respiratory Status:</t>
  </si>
  <si>
    <t>🔗 CARDIO-RESPIRATORY INTEGRATION</t>
  </si>
  <si>
    <t>O₂ Delivery Rate:</t>
  </si>
  <si>
    <t>L O₂/min</t>
  </si>
  <si>
    <t>System Sync:</t>
  </si>
  <si>
    <t>CO₂ Removal Rate:</t>
  </si>
  <si>
    <t>L CO₂/min</t>
  </si>
  <si>
    <t>Ventilation-Perfusion:</t>
  </si>
  <si>
    <t>🍼 INFANT DEVELOPMENT LINK</t>
  </si>
  <si>
    <t>🧠 ADOLESCENT DEVELOPMENT SUMMARY</t>
  </si>
  <si>
    <t>weeks</t>
  </si>
  <si>
    <t>Metric</t>
  </si>
  <si>
    <t>Age (Years):</t>
  </si>
  <si>
    <t>Development Phase:</t>
  </si>
  <si>
    <t>Identity Formation:</t>
  </si>
  <si>
    <t>Puberty Status:</t>
  </si>
  <si>
    <t>Emotional Regulation:</t>
  </si>
  <si>
    <t>Neural Pathways:</t>
  </si>
  <si>
    <t>Overall Maturity:</t>
  </si>
  <si>
    <t>Identity Stages:</t>
  </si>
  <si>
    <t>Adolescent Progress:</t>
  </si>
  <si>
    <t>Expression Rate</t>
  </si>
  <si>
    <t>Comprehension Rate</t>
  </si>
  <si>
    <t>Memory Capacity</t>
  </si>
  <si>
    <t>Reasoning Index</t>
  </si>
  <si>
    <t>Mind-Language Integration</t>
  </si>
  <si>
    <t>Communication Status</t>
  </si>
  <si>
    <t>👁️ SENSORY INTEGRATION DASHBOARD</t>
  </si>
  <si>
    <t>Modality</t>
  </si>
  <si>
    <t>Components</t>
  </si>
  <si>
    <t>Avg Maturity</t>
  </si>
  <si>
    <t>Signal Strength</t>
  </si>
  <si>
    <t>👁️ Vision</t>
  </si>
  <si>
    <t>👂 Auditory</t>
  </si>
  <si>
    <t>✋ Touch</t>
  </si>
  <si>
    <t>👅 Taste</t>
  </si>
  <si>
    <t>👃 Smell</t>
  </si>
  <si>
    <t>⚖️ Balance</t>
  </si>
  <si>
    <t>Total Sensory Components:</t>
  </si>
  <si>
    <t>Overall Sensory Maturity:</t>
  </si>
  <si>
    <t>Sensory Coherence:</t>
  </si>
  <si>
    <t>Unified perception index</t>
  </si>
  <si>
    <t>Sensory Status:</t>
  </si>
  <si>
    <t>🧠 PERCEPTUAL INTEGRATION [MERGED 1x6]</t>
  </si>
  <si>
    <t>Integration Metric</t>
  </si>
  <si>
    <t>Description</t>
  </si>
  <si>
    <t>Visual Acuity:</t>
  </si>
  <si>
    <t>Light detection &amp; pattern recognition</t>
  </si>
  <si>
    <t>Auditory Sensitivity:</t>
  </si>
  <si>
    <t>Sound frequency detection</t>
  </si>
  <si>
    <t>Tactile Response:</t>
  </si>
  <si>
    <t>Pressure, temperature, pain sensing</t>
  </si>
  <si>
    <t>Gustatory Function:</t>
  </si>
  <si>
    <t>Taste receptor activity</t>
  </si>
  <si>
    <t>Olfactory Function:</t>
  </si>
  <si>
    <t>Smell receptor activity</t>
  </si>
  <si>
    <t>Vestibular Balance:</t>
  </si>
  <si>
    <t>Spatial orientation &amp; equilibrium</t>
  </si>
  <si>
    <t>🔗 SENSORY-NEURAL SYNC</t>
  </si>
  <si>
    <t>Pathway</t>
  </si>
  <si>
    <t>Source</t>
  </si>
  <si>
    <t>Target</t>
  </si>
  <si>
    <t>Sync Status</t>
  </si>
  <si>
    <t>Optic → Visual Cortex</t>
  </si>
  <si>
    <t>Retina</t>
  </si>
  <si>
    <t>Auditory → Temporal Cortex</t>
  </si>
  <si>
    <t>Cochlea</t>
  </si>
  <si>
    <t>Somatosensory → Parietal Cortex</t>
  </si>
  <si>
    <t>Gustatory → Insular Cortex</t>
  </si>
  <si>
    <t>Olfactory → Limbic System</t>
  </si>
  <si>
    <t>Olfactory Bulb</t>
  </si>
  <si>
    <t>Vestibular → Cerebellum</t>
  </si>
  <si>
    <t>Vestibular System</t>
  </si>
  <si>
    <t>🌐 UNIFIED PERCEPTION STATUS</t>
  </si>
  <si>
    <t>Perceptual Coherence Index:</t>
  </si>
  <si>
    <t>Weighted sensory integration</t>
  </si>
  <si>
    <t>Multimodal Binding:</t>
  </si>
  <si>
    <t>Cross-modal perception status</t>
  </si>
  <si>
    <t>Conscious Perception:</t>
  </si>
  <si>
    <t>Awareness integration</t>
  </si>
  <si>
    <t>Airflow Regulation</t>
  </si>
  <si>
    <t>Sympathetic Pathway</t>
  </si>
  <si>
    <t>Air Distribution</t>
  </si>
  <si>
    <t>Pressure Sensors</t>
  </si>
  <si>
    <t>Bronchioles</t>
  </si>
  <si>
    <t>Micro-Airflow</t>
  </si>
  <si>
    <t>Local Autoregulation</t>
  </si>
  <si>
    <t>Oxygen Sensors</t>
  </si>
  <si>
    <t>Alveoli</t>
  </si>
  <si>
    <t>Oxygen Exchange</t>
  </si>
  <si>
    <t>O₂/CO₂ Sensors</t>
  </si>
  <si>
    <t>Rhythmic Motor</t>
  </si>
  <si>
    <t>Intercostal Muscles</t>
  </si>
  <si>
    <t>Spinal Respiratory Pathway</t>
  </si>
  <si>
    <t>Nasal Cavity</t>
  </si>
  <si>
    <t>Air Filtration</t>
  </si>
  <si>
    <t>Temperature Sensors</t>
  </si>
  <si>
    <t>Pharynx</t>
  </si>
  <si>
    <t>Air Passage</t>
  </si>
  <si>
    <t>Glossopharyngeal Pathway</t>
  </si>
  <si>
    <t>Larynx</t>
  </si>
  <si>
    <t>Airflow Modulation</t>
  </si>
  <si>
    <t>Sound/Vibration Sensors</t>
  </si>
  <si>
    <t>Connection To</t>
  </si>
  <si>
    <t>Flow Direction</t>
  </si>
  <si>
    <t>Flow Rate Factor</t>
  </si>
  <si>
    <t>Central Pump</t>
  </si>
  <si>
    <t>Aorta</t>
  </si>
  <si>
    <t>Vessel</t>
  </si>
  <si>
    <t>Pressure Regulation</t>
  </si>
  <si>
    <t>Ascending</t>
  </si>
  <si>
    <t>Pulmonary Artery</t>
  </si>
  <si>
    <t>To Lungs</t>
  </si>
  <si>
    <t>Pulmonary Veins</t>
  </si>
  <si>
    <t>Oxygen Return</t>
  </si>
  <si>
    <t>From Lungs</t>
  </si>
  <si>
    <t>Vena Cava</t>
  </si>
  <si>
    <t>Venous Return</t>
  </si>
  <si>
    <t>To Heart</t>
  </si>
  <si>
    <t>Coronary Arteries</t>
  </si>
  <si>
    <t>Cardiac Perfusion</t>
  </si>
  <si>
    <t>Cardiac Supply</t>
  </si>
  <si>
    <t>Capillary Networks</t>
  </si>
  <si>
    <t>Microcirculation</t>
  </si>
  <si>
    <t>Arterioles</t>
  </si>
  <si>
    <t>Bidirectional</t>
  </si>
  <si>
    <t>Blood</t>
  </si>
  <si>
    <t>Fluid</t>
  </si>
  <si>
    <t>Transport Medium</t>
  </si>
  <si>
    <t>Endocrine Feedback</t>
  </si>
  <si>
    <t>Hemoglobin Sensors</t>
  </si>
  <si>
    <t>All Vessels</t>
  </si>
  <si>
    <t>Circulating</t>
  </si>
  <si>
    <t>Superior Vena Cava</t>
  </si>
  <si>
    <t>Upper Body Return</t>
  </si>
  <si>
    <t>Upper Return</t>
  </si>
  <si>
    <t>Inferior Vena Cava</t>
  </si>
  <si>
    <t>Lower Body Return</t>
  </si>
  <si>
    <t>Lower Return</t>
  </si>
  <si>
    <t>Carotid Arteries</t>
  </si>
  <si>
    <t>Cerebral Perfusion</t>
  </si>
  <si>
    <t>To Brain</t>
  </si>
  <si>
    <t>Jugular Veins</t>
  </si>
  <si>
    <t>Cerebral Drainage</t>
  </si>
  <si>
    <t>Brain</t>
  </si>
  <si>
    <t>From Brain</t>
  </si>
  <si>
    <t>Hepatic Portal Vein</t>
  </si>
  <si>
    <t>Nutrient Transport</t>
  </si>
  <si>
    <t>Intestines</t>
  </si>
  <si>
    <t>Nutrient Carry</t>
  </si>
  <si>
    <t>Renal Arteries</t>
  </si>
  <si>
    <t>Kidney Perfusion</t>
  </si>
  <si>
    <t>To Kidneys</t>
  </si>
  <si>
    <t>Umbilical Arteries</t>
  </si>
  <si>
    <t>Waste Transport</t>
  </si>
  <si>
    <t>Placenta</t>
  </si>
  <si>
    <t>Waste Out</t>
  </si>
  <si>
    <t>Umbilical Vein</t>
  </si>
  <si>
    <t>Nutrient Delivery</t>
  </si>
  <si>
    <t>Nutrients In</t>
  </si>
  <si>
    <t>Ductus Arteriosus</t>
  </si>
  <si>
    <t>Fetal Shunt</t>
  </si>
  <si>
    <t>Pulmonary Bypass</t>
  </si>
  <si>
    <t>Pulmonary/Aorta</t>
  </si>
  <si>
    <t>Bypass</t>
  </si>
  <si>
    <t>Foramen Ovale</t>
  </si>
  <si>
    <t>Atrial Shunt</t>
  </si>
  <si>
    <t>Atria</t>
  </si>
  <si>
    <t>Atrial Bypass</t>
  </si>
  <si>
    <t>🩸 CIRCULATORY SYSTEM SUMMARY</t>
  </si>
  <si>
    <t>🔗 CROSS-SYSTEM LINKS</t>
  </si>
  <si>
    <t>Total Components:</t>
  </si>
  <si>
    <t>Linked Sheet</t>
  </si>
  <si>
    <t>Connection</t>
  </si>
  <si>
    <t>Vessels:</t>
  </si>
  <si>
    <t>DNA Loop Engine</t>
  </si>
  <si>
    <t>Current Week (B5)</t>
  </si>
  <si>
    <t>Organs:</t>
  </si>
  <si>
    <t>Respiratory Control</t>
  </si>
  <si>
    <t>O₂ Exchange</t>
  </si>
  <si>
    <t>Fetal Shunts:</t>
  </si>
  <si>
    <t>Anatomy Growth Engine</t>
  </si>
  <si>
    <t>Heart Coordinates</t>
  </si>
  <si>
    <t>Fluids:</t>
  </si>
  <si>
    <t>Neural Control</t>
  </si>
  <si>
    <t>Autonomic Pathways</t>
  </si>
  <si>
    <t>⏳ Pending:</t>
  </si>
  <si>
    <t>🔄 Developing:</t>
  </si>
  <si>
    <t>✅ Mature:</t>
  </si>
  <si>
    <t>Average Maturity:</t>
  </si>
  <si>
    <t>🫀 CARDIAC METRICS (from DNA Loop Engine)</t>
  </si>
  <si>
    <t>Heart Rate:</t>
  </si>
  <si>
    <t>Status:</t>
  </si>
  <si>
    <t>Cardiac Output:</t>
  </si>
  <si>
    <t>Blood Flow:</t>
  </si>
  <si>
    <t>Blood Volume:</t>
  </si>
  <si>
    <t>🔗 RESPIRATORY SYNC</t>
  </si>
  <si>
    <t>🧬 FETAL CIRCULATION STATUS</t>
  </si>
  <si>
    <t>Umbilical Flow:</t>
  </si>
  <si>
    <t>Ductus Arteriosus:</t>
  </si>
  <si>
    <t>Foramen Ovale:</t>
  </si>
  <si>
    <t>Mouth</t>
  </si>
  <si>
    <t>Taste Receptors</t>
  </si>
  <si>
    <t>Skull</t>
  </si>
  <si>
    <t>Intake</t>
  </si>
  <si>
    <t>Passage</t>
  </si>
  <si>
    <t>Peristaltic</t>
  </si>
  <si>
    <t>Descending</t>
  </si>
  <si>
    <t>Churning</t>
  </si>
  <si>
    <t>Chemical Sensors</t>
  </si>
  <si>
    <t>Processing</t>
  </si>
  <si>
    <t>Nutrient Sensors</t>
  </si>
  <si>
    <t>Absorption</t>
  </si>
  <si>
    <t>Absorptive</t>
  </si>
  <si>
    <t>Metabolic Regulation</t>
  </si>
  <si>
    <t>Glucose Sensors</t>
  </si>
  <si>
    <t>Filtration</t>
  </si>
  <si>
    <t>Bile Release</t>
  </si>
  <si>
    <t>Secretion</t>
  </si>
  <si>
    <t>Enzyme Secretion</t>
  </si>
  <si>
    <t>Rectum</t>
  </si>
  <si>
    <t>Expulsion Control</t>
  </si>
  <si>
    <t>Output</t>
  </si>
  <si>
    <t>🍽️ DIGESTIVE SYSTEM SUMMARY</t>
  </si>
  <si>
    <t>Circulatory System</t>
  </si>
  <si>
    <t>O₂ for Metabolism</t>
  </si>
  <si>
    <t>Organ Coordinates</t>
  </si>
  <si>
    <t>Umbilical System</t>
  </si>
  <si>
    <t>Prenatal Nutrients</t>
  </si>
  <si>
    <t>🥗 DIGESTIVE METRICS DASHBOARD</t>
  </si>
  <si>
    <t>Visual</t>
  </si>
  <si>
    <t>Peristalsis Rate:</t>
  </si>
  <si>
    <t>cycles/min</t>
  </si>
  <si>
    <t>🔄 Peristaltic Motion:</t>
  </si>
  <si>
    <t>🌊 🌊 🌊 🌊 🌊</t>
  </si>
  <si>
    <t>Nutrient Demand:</t>
  </si>
  <si>
    <t>Gut Activity:</t>
  </si>
  <si>
    <t>Absorption Efficiency:</t>
  </si>
  <si>
    <t>Enzyme Secretion:</t>
  </si>
  <si>
    <t>🧬 Enzyme Status:</t>
  </si>
  <si>
    <t>Bile Flow:</t>
  </si>
  <si>
    <t>Glucose Processing:</t>
  </si>
  <si>
    <t>🍬 Glucose Status:</t>
  </si>
  <si>
    <t>Waste Output:</t>
  </si>
  <si>
    <t>Digestive Maturity:</t>
  </si>
  <si>
    <t>Digestive Status:</t>
  </si>
  <si>
    <t>🔗 NUTRIENT-CIRCULATORY INTEGRATION</t>
  </si>
  <si>
    <t>Nutrient Delivery Rate:</t>
  </si>
  <si>
    <t>Hepatic Portal Flow:</t>
  </si>
  <si>
    <t>Glucose to Blood:</t>
  </si>
  <si>
    <t>Metabolic Sync:</t>
  </si>
  <si>
    <t>🫀 UMBILICAL NUTRIENT PATHWAY</t>
  </si>
  <si>
    <t>Flow Rate</t>
  </si>
  <si>
    <t>Umbilical Vein → Liver:</t>
  </si>
  <si>
    <t>Nutrients from placenta</t>
  </si>
  <si>
    <t>Liver → Ductus Venosus:</t>
  </si>
  <si>
    <t>Bypasses liver partially</t>
  </si>
  <si>
    <t>Post-Birth Status:</t>
  </si>
  <si>
    <t>Receptor Gain</t>
  </si>
  <si>
    <t>Sensory Modality</t>
  </si>
  <si>
    <t>Retina Photoreceptors</t>
  </si>
  <si>
    <t>Vision</t>
  </si>
  <si>
    <t>Light Receptors</t>
  </si>
  <si>
    <t>Optic Nerve</t>
  </si>
  <si>
    <t>Nerve</t>
  </si>
  <si>
    <t>Visual Cortex</t>
  </si>
  <si>
    <t>Auditory Pathway</t>
  </si>
  <si>
    <t>Cochlear Hair Cells</t>
  </si>
  <si>
    <t>Auditory</t>
  </si>
  <si>
    <t>Sound Receptors</t>
  </si>
  <si>
    <t>Auditory Nerve</t>
  </si>
  <si>
    <t>Temporal Cortex</t>
  </si>
  <si>
    <t>Somatosensory Pathway</t>
  </si>
  <si>
    <t>Mechanoreceptors</t>
  </si>
  <si>
    <t>Body Surface</t>
  </si>
  <si>
    <t>Touch</t>
  </si>
  <si>
    <t>Cell</t>
  </si>
  <si>
    <t>Touch Pressure Sensors</t>
  </si>
  <si>
    <t>Thermoreceptors</t>
  </si>
  <si>
    <t>Nociceptors</t>
  </si>
  <si>
    <t>Pain Sensors</t>
  </si>
  <si>
    <t>Gustatory Pathway</t>
  </si>
  <si>
    <t>Taste Buds</t>
  </si>
  <si>
    <t>Taste</t>
  </si>
  <si>
    <t>Olfactory Pathway</t>
  </si>
  <si>
    <t>Smell Receptors</t>
  </si>
  <si>
    <t>Smell</t>
  </si>
  <si>
    <t>Olfactory Nerve</t>
  </si>
  <si>
    <t>Olfactory Cortex</t>
  </si>
  <si>
    <t>Vestibular Pathway</t>
  </si>
  <si>
    <t>Balance Receptors</t>
  </si>
  <si>
    <t>Balance</t>
  </si>
  <si>
    <t>👁️ SENSORY SYSTEM SUMMARY</t>
  </si>
  <si>
    <t>Avg Signal</t>
  </si>
  <si>
    <t>Brainstem/Cerebrum</t>
  </si>
  <si>
    <t>TOTALS:</t>
  </si>
  <si>
    <t>🔗 CROSS-SYSTEM CONNECTIONS</t>
  </si>
  <si>
    <t>Linked System</t>
  </si>
  <si>
    <t>Connection Point</t>
  </si>
  <si>
    <t>Data Shared</t>
  </si>
  <si>
    <t>Timing &amp; Growth Factor</t>
  </si>
  <si>
    <t>🟢 LINKED</t>
  </si>
  <si>
    <t>Cerebrum/Brainstem</t>
  </si>
  <si>
    <t>Signal Pathways</t>
  </si>
  <si>
    <t>Sensory Organs (Eyes, Ears, etc.)</t>
  </si>
  <si>
    <t>Spatial Coordinates</t>
  </si>
  <si>
    <t>Nasal Cavity, Pharynx</t>
  </si>
  <si>
    <t>Airway/Smell Connection</t>
  </si>
  <si>
    <t>Digestive Control</t>
  </si>
  <si>
    <t>Mouth, Tongue</t>
  </si>
  <si>
    <t>Taste/Intake Feedback</t>
  </si>
  <si>
    <t>Size (cm)</t>
  </si>
  <si>
    <t>Mass (kg)</t>
  </si>
  <si>
    <t>✅ Mature</t>
  </si>
  <si>
    <t>Forehead</t>
  </si>
  <si>
    <t>Skull top left</t>
  </si>
  <si>
    <t>Skull top right</t>
  </si>
  <si>
    <t>Temple left</t>
  </si>
  <si>
    <t>Temple right</t>
  </si>
  <si>
    <t>Back of skull</t>
  </si>
  <si>
    <t>Skull base</t>
  </si>
  <si>
    <t>Nasal bridge</t>
  </si>
  <si>
    <t>Jaw bone</t>
  </si>
  <si>
    <t>Upper jaw left</t>
  </si>
  <si>
    <t>Upper jaw right</t>
  </si>
  <si>
    <t>Cervical Vertebrae (C1-C7)</t>
  </si>
  <si>
    <t>Neck vertebrae</t>
  </si>
  <si>
    <t>Thoracic Vertebrae (T1-T12)</t>
  </si>
  <si>
    <t>Mid-back</t>
  </si>
  <si>
    <t>Lumbar Vertebrae (L1-L5)</t>
  </si>
  <si>
    <t>Lower back</t>
  </si>
  <si>
    <t>Base of spine</t>
  </si>
  <si>
    <t>Tailbone</t>
  </si>
  <si>
    <t>Ribs (1-12 Left)</t>
  </si>
  <si>
    <t>Left ribcage</t>
  </si>
  <si>
    <t>Ribs (1-12 Right)</t>
  </si>
  <si>
    <t>Right ribcage</t>
  </si>
  <si>
    <t>Breastbone</t>
  </si>
  <si>
    <t>Left collarbone</t>
  </si>
  <si>
    <t>Right collarbone</t>
  </si>
  <si>
    <t>Left shoulder blade</t>
  </si>
  <si>
    <t>Right shoulder blade</t>
  </si>
  <si>
    <t>Left upper arm</t>
  </si>
  <si>
    <t>Right upper arm</t>
  </si>
  <si>
    <t>Left forearm (thumb side)</t>
  </si>
  <si>
    <t>Right forearm (thumb side)</t>
  </si>
  <si>
    <t>Left forearm (pinky side)</t>
  </si>
  <si>
    <t>Right forearm (pinky side)</t>
  </si>
  <si>
    <t>Left wrist (8 bones)</t>
  </si>
  <si>
    <t>Right wrist (8 bones)</t>
  </si>
  <si>
    <t>Left palm (5 bones)</t>
  </si>
  <si>
    <t>Right palm (5 bones)</t>
  </si>
  <si>
    <t>Left fingers (14 bones)</t>
  </si>
  <si>
    <t>Right fingers (14 bones)</t>
  </si>
  <si>
    <t>Left pelvis</t>
  </si>
  <si>
    <t>Right pelvis</t>
  </si>
  <si>
    <t>Left thigh bone</t>
  </si>
  <si>
    <t>Right thigh bone</t>
  </si>
  <si>
    <t>Left kneecap</t>
  </si>
  <si>
    <t>Right kneecap</t>
  </si>
  <si>
    <t>Left shinbone</t>
  </si>
  <si>
    <t>Right shinbone</t>
  </si>
  <si>
    <t>Left calf bone</t>
  </si>
  <si>
    <t>Right calf bone</t>
  </si>
  <si>
    <t>Left ankle (7 bones)</t>
  </si>
  <si>
    <t>Right ankle (7 bones)</t>
  </si>
  <si>
    <t>Left foot (5 bones)</t>
  </si>
  <si>
    <t>Right foot (5 bones)</t>
  </si>
  <si>
    <t>Left toes (14 bones)</t>
  </si>
  <si>
    <t>Right toes (14 bones)</t>
  </si>
  <si>
    <t>Cardiac muscle</t>
  </si>
  <si>
    <t>Lungs (Left)</t>
  </si>
  <si>
    <t>ORG_LUNGS_L</t>
  </si>
  <si>
    <t>Pleural</t>
  </si>
  <si>
    <t>Left lung (2 lobes)</t>
  </si>
  <si>
    <t>Lungs (Right)</t>
  </si>
  <si>
    <t>ORG_LUNGS_R</t>
  </si>
  <si>
    <t>Right lung (3 lobes)</t>
  </si>
  <si>
    <t>Largest internal organ</t>
  </si>
  <si>
    <t>Digestive organ</t>
  </si>
  <si>
    <t>6m length</t>
  </si>
  <si>
    <t>1.5m length</t>
  </si>
  <si>
    <t>Endocrine/exocrine</t>
  </si>
  <si>
    <t>Bile storage</t>
  </si>
  <si>
    <t>Kidneys (Left)</t>
  </si>
  <si>
    <t>ORG_KIDNEY_L</t>
  </si>
  <si>
    <t>Left kidney</t>
  </si>
  <si>
    <t>Kidneys (Right)</t>
  </si>
  <si>
    <t>ORG_KIDNEY_R</t>
  </si>
  <si>
    <t>Right kidney</t>
  </si>
  <si>
    <t>Urine storage</t>
  </si>
  <si>
    <t>Lymphatic organ</t>
  </si>
  <si>
    <t>Higher cognition</t>
  </si>
  <si>
    <t>Motor coordination</t>
  </si>
  <si>
    <t>Vital functions</t>
  </si>
  <si>
    <t>Neural highway</t>
  </si>
  <si>
    <t>Master gland</t>
  </si>
  <si>
    <t>Melatonin production</t>
  </si>
  <si>
    <t>Metabolism regulation</t>
  </si>
  <si>
    <t>Parathyroid Glands</t>
  </si>
  <si>
    <t>Calcium regulation</t>
  </si>
  <si>
    <t>Stress hormones</t>
  </si>
  <si>
    <t>T-cell maturation</t>
  </si>
  <si>
    <t>Vision (each)</t>
  </si>
  <si>
    <t>Hearing/balance</t>
  </si>
  <si>
    <t>Olfaction</t>
  </si>
  <si>
    <t>Taste/speech</t>
  </si>
  <si>
    <t>1.8m² surface area</t>
  </si>
  <si>
    <t>Windpipe</t>
  </si>
  <si>
    <t>Food passage</t>
  </si>
  <si>
    <t>Airway branches</t>
  </si>
  <si>
    <t>Breathing muscle</t>
  </si>
  <si>
    <t>Jaw closing</t>
  </si>
  <si>
    <t>Neck rotation</t>
  </si>
  <si>
    <t>Shoulder elevation</t>
  </si>
  <si>
    <t>Arm adduction</t>
  </si>
  <si>
    <t>Scapula depression</t>
  </si>
  <si>
    <t>Arm extension</t>
  </si>
  <si>
    <t>Scapula protraction</t>
  </si>
  <si>
    <t>Spine extension</t>
  </si>
  <si>
    <t>Scapula retraction</t>
  </si>
  <si>
    <t>Trunk flexion</t>
  </si>
  <si>
    <t>Trunk rotation</t>
  </si>
  <si>
    <t>Core stability</t>
  </si>
  <si>
    <t>Arm abduction</t>
  </si>
  <si>
    <t>Arm abduction initiation</t>
  </si>
  <si>
    <t>External rotation</t>
  </si>
  <si>
    <t>Internal rotation</t>
  </si>
  <si>
    <t>Elbow flexion</t>
  </si>
  <si>
    <t>Elbow extension</t>
  </si>
  <si>
    <t>Forearm flexion</t>
  </si>
  <si>
    <t>Wrist flexion</t>
  </si>
  <si>
    <t>Wrist extension</t>
  </si>
  <si>
    <t>Hip extension</t>
  </si>
  <si>
    <t>Hip abduction</t>
  </si>
  <si>
    <t>Hip flexion</t>
  </si>
  <si>
    <t>Knee extension</t>
  </si>
  <si>
    <t>Knee flexion</t>
  </si>
  <si>
    <t>Hip adduction</t>
  </si>
  <si>
    <t>Ankle plantarflexion</t>
  </si>
  <si>
    <t>Ankle dorsiflexion</t>
  </si>
  <si>
    <t>Foot eversion</t>
  </si>
  <si>
    <t>Eye closure</t>
  </si>
  <si>
    <t>Lip movement</t>
  </si>
  <si>
    <t>Cheek compression</t>
  </si>
  <si>
    <t>Diaphragm (Muscle)</t>
  </si>
  <si>
    <t>Primary breathing</t>
  </si>
  <si>
    <t>Rib elevation</t>
  </si>
  <si>
    <t>Anterior Cruciate Ligament (ACL)</t>
  </si>
  <si>
    <t>Knee stability</t>
  </si>
  <si>
    <t>Posterior Cruciate Ligament (PCL)</t>
  </si>
  <si>
    <t>Medial Collateral Ligament (MCL)</t>
  </si>
  <si>
    <t>Knee medial support</t>
  </si>
  <si>
    <t>Lateral Collateral Ligament (LCL)</t>
  </si>
  <si>
    <t>Knee lateral support</t>
  </si>
  <si>
    <t>Knee extension force</t>
  </si>
  <si>
    <t>Strongest tendon</t>
  </si>
  <si>
    <t>Shoulder stability</t>
  </si>
  <si>
    <t>Strongest ligament</t>
  </si>
  <si>
    <t>Hip stability</t>
  </si>
  <si>
    <t>Anterior Longitudinal Ligament</t>
  </si>
  <si>
    <t>CT_ALL</t>
  </si>
  <si>
    <t>Spine anterior support</t>
  </si>
  <si>
    <t>Posterior Longitudinal Ligament</t>
  </si>
  <si>
    <t>CT_PLL</t>
  </si>
  <si>
    <t>Spine posterior support</t>
  </si>
  <si>
    <t>Interspinous Ligaments</t>
  </si>
  <si>
    <t>Vertebral connection</t>
  </si>
  <si>
    <t>Glenohumeral Ligaments</t>
  </si>
  <si>
    <t>Shoulder capsule</t>
  </si>
  <si>
    <t>Acromioclavicular Ligament</t>
  </si>
  <si>
    <t>CT_AC_LIG</t>
  </si>
  <si>
    <t>AC joint stability</t>
  </si>
  <si>
    <t>Lateral Ankle Ligaments</t>
  </si>
  <si>
    <t>CT_ANKLE_LAT</t>
  </si>
  <si>
    <t>Ankle lateral support</t>
  </si>
  <si>
    <t>Deltoid Ligament</t>
  </si>
  <si>
    <t>CT_DELTOID_LIG</t>
  </si>
  <si>
    <t>Ankle medial support</t>
  </si>
  <si>
    <t>🧭 POINT 0 — ADULT REFERENCE FRAME</t>
  </si>
  <si>
    <t>Reference Height:</t>
  </si>
  <si>
    <t>cm</t>
  </si>
  <si>
    <t>Forward (Anterior)</t>
  </si>
  <si>
    <t>Reference Mass:</t>
  </si>
  <si>
    <t>kg</t>
  </si>
  <si>
    <t>Backward (Posterior)</t>
  </si>
  <si>
    <t>🔗 ALL COORDINATES ARE RELATIVE TO POINT 0 (PELVIS CENTRE)</t>
  </si>
  <si>
    <t>📊 ADULT ANATOMY SUMMARY</t>
  </si>
  <si>
    <t>Count</t>
  </si>
  <si>
    <t>Total Mass (kg)</t>
  </si>
  <si>
    <t>TOTAL</t>
  </si>
  <si>
    <t>🎯 CONNECTION TYPES</t>
  </si>
  <si>
    <t>Type</t>
  </si>
  <si>
    <t>Link To</t>
  </si>
  <si>
    <t>Reference</t>
  </si>
  <si>
    <t>Data Type</t>
  </si>
  <si>
    <t>Purpose</t>
  </si>
  <si>
    <t>Current Tick</t>
  </si>
  <si>
    <t>Simulation sync</t>
  </si>
  <si>
    <t>Timeline reference</t>
  </si>
  <si>
    <t>Component Names</t>
  </si>
  <si>
    <t>Growth data</t>
  </si>
  <si>
    <t>Growth comparison</t>
  </si>
  <si>
    <t>Vessel Names</t>
  </si>
  <si>
    <t>Vascular data</t>
  </si>
  <si>
    <t>Vascular network</t>
  </si>
  <si>
    <t>Airway Components</t>
  </si>
  <si>
    <t>Breathing data</t>
  </si>
  <si>
    <t>Breathing system</t>
  </si>
  <si>
    <t>GI Components</t>
  </si>
  <si>
    <t>Digestion data</t>
  </si>
  <si>
    <t>Digestion system</t>
  </si>
  <si>
    <t>Sensory Integration</t>
  </si>
  <si>
    <t>Sensory Components</t>
  </si>
  <si>
    <t>Perception data</t>
  </si>
  <si>
    <t>Perception system</t>
  </si>
  <si>
    <t>📌 ADULT vs FETAL COMPARISON</t>
  </si>
  <si>
    <t>Adult Value</t>
  </si>
  <si>
    <t>Fetal @ Week 40</t>
  </si>
  <si>
    <t>Ratio</t>
  </si>
  <si>
    <t>Reference Height</t>
  </si>
  <si>
    <t>175 cm</t>
  </si>
  <si>
    <t>50 cm</t>
  </si>
  <si>
    <t>3.5x</t>
  </si>
  <si>
    <t>Reference Mass</t>
  </si>
  <si>
    <t>70 kg</t>
  </si>
  <si>
    <t>3.5 kg</t>
  </si>
  <si>
    <t>20x</t>
  </si>
  <si>
    <t>Heart Rate</t>
  </si>
  <si>
    <t>60-100 BPM</t>
  </si>
  <si>
    <t>120-160 BPM</t>
  </si>
  <si>
    <t>0.6x</t>
  </si>
  <si>
    <t>Brain Mass</t>
  </si>
  <si>
    <t>1.4 kg</t>
  </si>
  <si>
    <t>0.4 kg</t>
  </si>
  <si>
    <t>Bone Count</t>
  </si>
  <si>
    <t>270+</t>
  </si>
  <si>
    <t>Fusion occurs</t>
  </si>
  <si>
    <t>Muscle Count</t>
  </si>
  <si>
    <t>600+</t>
  </si>
  <si>
    <t>Same</t>
  </si>
  <si>
    <t>🍼 A7DO INFANT DEVELOPMENT ENGINE — Phase 2: Baby → Infant</t>
  </si>
  <si>
    <t>⚙️ TRANSITION CONTROL PANEL</t>
  </si>
  <si>
    <t>🩺 BIRTH TRANSITION STATUS</t>
  </si>
  <si>
    <t>Current Age (weeks):</t>
  </si>
  <si>
    <t>Prenatal</t>
  </si>
  <si>
    <t>Postnatal</t>
  </si>
  <si>
    <t>Age in Months:</t>
  </si>
  <si>
    <t>Oxygen Source</t>
  </si>
  <si>
    <t>Birth Week:</t>
  </si>
  <si>
    <t>Nutrient Source</t>
  </si>
  <si>
    <t>Umbilical</t>
  </si>
  <si>
    <t>Digestive</t>
  </si>
  <si>
    <t>Post-Birth Weeks:</t>
  </si>
  <si>
    <t>Circulation</t>
  </si>
  <si>
    <t>Fetal Shunts</t>
  </si>
  <si>
    <t>Pulmonary</t>
  </si>
  <si>
    <t>Temperature</t>
  </si>
  <si>
    <t>Maternal</t>
  </si>
  <si>
    <t>Self-Regulated</t>
  </si>
  <si>
    <t>Umbilical Status:</t>
  </si>
  <si>
    <t>Waste Removal</t>
  </si>
  <si>
    <t>Kidneys/Bowel</t>
  </si>
  <si>
    <t>Breathing Mode:</t>
  </si>
  <si>
    <t>🎯 AUTONOMY METRICS</t>
  </si>
  <si>
    <t>👁️ SENSORY AWARENESS</t>
  </si>
  <si>
    <t>Awareness</t>
  </si>
  <si>
    <t>Respiratory:</t>
  </si>
  <si>
    <t>Vision:</t>
  </si>
  <si>
    <t>Circulatory:</t>
  </si>
  <si>
    <t>Auditory:</t>
  </si>
  <si>
    <t>Neural:</t>
  </si>
  <si>
    <t>Tactile:</t>
  </si>
  <si>
    <t>Digestive:</t>
  </si>
  <si>
    <t>Olfactory:</t>
  </si>
  <si>
    <t>Endocrine:</t>
  </si>
  <si>
    <t>Gustatory:</t>
  </si>
  <si>
    <t>AUTONOMY %:</t>
  </si>
  <si>
    <t>SENSORY AWARENESS:</t>
  </si>
  <si>
    <t>💪 MOTOR READINESS</t>
  </si>
  <si>
    <t>🧠 LEARNING &amp; COGNITIVE</t>
  </si>
  <si>
    <t>Motor Skill</t>
  </si>
  <si>
    <t>Readiness %</t>
  </si>
  <si>
    <t>Milestone</t>
  </si>
  <si>
    <t>Expected</t>
  </si>
  <si>
    <t>Cognitive Metric</t>
  </si>
  <si>
    <t>Reflex Control:</t>
  </si>
  <si>
    <t>Primitive→Voluntary</t>
  </si>
  <si>
    <t>Circuit formation</t>
  </si>
  <si>
    <t>Balance/Posture:</t>
  </si>
  <si>
    <t>Head→Sitting</t>
  </si>
  <si>
    <t>Sensory Feedback:</t>
  </si>
  <si>
    <t>Cross-modal binding</t>
  </si>
  <si>
    <t>Voluntary Control:</t>
  </si>
  <si>
    <t>Involuntary→Grasping</t>
  </si>
  <si>
    <t>Learning Rate:</t>
  </si>
  <si>
    <t>Adaptive growth</t>
  </si>
  <si>
    <t>Gross Motor:</t>
  </si>
  <si>
    <t>Limited→Walking</t>
  </si>
  <si>
    <t>Memory Formation:</t>
  </si>
  <si>
    <t>Recognition forming</t>
  </si>
  <si>
    <t>Fine Motor:</t>
  </si>
  <si>
    <t>Grasp reflex→Pincer</t>
  </si>
  <si>
    <t>Attention Span:</t>
  </si>
  <si>
    <t>Focus developing</t>
  </si>
  <si>
    <t>MOTOR READINESS:</t>
  </si>
  <si>
    <t>COGNITIVE INDEX:</t>
  </si>
  <si>
    <t>🏆 INFANT DEVELOPMENT MILESTONES</t>
  </si>
  <si>
    <t>Age</t>
  </si>
  <si>
    <t>Motor Milestone</t>
  </si>
  <si>
    <t>Sensory Milestone</t>
  </si>
  <si>
    <t>Cognitive Milestone</t>
  </si>
  <si>
    <t>Social Milestone</t>
  </si>
  <si>
    <t>Achieved</t>
  </si>
  <si>
    <t>Birth</t>
  </si>
  <si>
    <t>Reflexive movements</t>
  </si>
  <si>
    <t>Blurry vision, loud sounds</t>
  </si>
  <si>
    <t>Immediate sensory response</t>
  </si>
  <si>
    <t>Recognizes mother's voice</t>
  </si>
  <si>
    <t>2 weeks</t>
  </si>
  <si>
    <t>Lifts head briefly</t>
  </si>
  <si>
    <t>Focuses 8-12 inches</t>
  </si>
  <si>
    <t>Prefers faces</t>
  </si>
  <si>
    <t>Eye contact begins</t>
  </si>
  <si>
    <t>1 month</t>
  </si>
  <si>
    <t>Smoother limb movements</t>
  </si>
  <si>
    <t>Tracks moving objects</t>
  </si>
  <si>
    <t>Distinguishes sounds</t>
  </si>
  <si>
    <t>Social smile emerging</t>
  </si>
  <si>
    <t>2 months</t>
  </si>
  <si>
    <t>Holds head up 45°</t>
  </si>
  <si>
    <t>Follows objects to midline</t>
  </si>
  <si>
    <t>Coos and vocalizes</t>
  </si>
  <si>
    <t>Smiles responsively</t>
  </si>
  <si>
    <t>3 months</t>
  </si>
  <si>
    <t>Head control when held</t>
  </si>
  <si>
    <t>Tracks 180°, color vision</t>
  </si>
  <si>
    <t>Laughs, varied sounds</t>
  </si>
  <si>
    <t>Recognizes familiar faces</t>
  </si>
  <si>
    <t>4 months</t>
  </si>
  <si>
    <t>Rolls front to back</t>
  </si>
  <si>
    <t>Reaches for objects</t>
  </si>
  <si>
    <t>Explores with mouth</t>
  </si>
  <si>
    <t>Enjoys social play</t>
  </si>
  <si>
    <t>5 months</t>
  </si>
  <si>
    <t>Sits with support</t>
  </si>
  <si>
    <t>Transfers objects</t>
  </si>
  <si>
    <t>Responds to name</t>
  </si>
  <si>
    <t>Stranger awareness</t>
  </si>
  <si>
    <t>6 months</t>
  </si>
  <si>
    <t>Sits independently</t>
  </si>
  <si>
    <t>Raking grasp</t>
  </si>
  <si>
    <t>Babbles consonants</t>
  </si>
  <si>
    <t>Attachment forming</t>
  </si>
  <si>
    <t>8 months</t>
  </si>
  <si>
    <t>Crawls, pulls to stand</t>
  </si>
  <si>
    <t>Pincer grasp emerging</t>
  </si>
  <si>
    <t>Object permanence</t>
  </si>
  <si>
    <t>Separation anxiety</t>
  </si>
  <si>
    <t>10 months</t>
  </si>
  <si>
    <t>Cruises furniture</t>
  </si>
  <si>
    <t>Points at objects</t>
  </si>
  <si>
    <t>Understands "no"</t>
  </si>
  <si>
    <t>Waves bye-bye</t>
  </si>
  <si>
    <t>12 months</t>
  </si>
  <si>
    <t>First steps</t>
  </si>
  <si>
    <t>Pincer grasp refined</t>
  </si>
  <si>
    <t>First words</t>
  </si>
  <si>
    <t>Shows affection</t>
  </si>
  <si>
    <t>MILESTONES ACHIEVED:</t>
  </si>
  <si>
    <t>of 11</t>
  </si>
  <si>
    <t>Progress:</t>
  </si>
  <si>
    <t>NEXT MILESTONE:</t>
  </si>
  <si>
    <t>📊 OVERALL INFANT DEVELOPMENT DASHBOARD</t>
  </si>
  <si>
    <t>Core Metric</t>
  </si>
  <si>
    <t>System Integration</t>
  </si>
  <si>
    <t>Autonomy %</t>
  </si>
  <si>
    <t>Cardio-Respiratory Sync:</t>
  </si>
  <si>
    <t>Sensory Awareness %</t>
  </si>
  <si>
    <t>Neuro-Motor Integration:</t>
  </si>
  <si>
    <t>Motor Readiness %</t>
  </si>
  <si>
    <t>Sensory-Cognitive Binding:</t>
  </si>
  <si>
    <t>Cognitive Index %</t>
  </si>
  <si>
    <t>Autonomic Stability:</t>
  </si>
  <si>
    <t>Milestones Progress %</t>
  </si>
  <si>
    <t>OVERALL DEVELOPMENT INDEX:</t>
  </si>
  <si>
    <t>Development Status:</t>
  </si>
  <si>
    <t>🔗 LINKED TO DNA LOOP ENGINE</t>
  </si>
  <si>
    <t>Current Week (Prenatal)</t>
  </si>
  <si>
    <t>Heart Maturity</t>
  </si>
  <si>
    <t>Lung Maturity</t>
  </si>
  <si>
    <t>Eye Maturity</t>
  </si>
  <si>
    <t>Adult Anatomy Engine</t>
  </si>
  <si>
    <t>Adult Reference Count</t>
  </si>
  <si>
    <t>🧒 INFANT DEVELOPMENT MATRIX — Detailed Tracking</t>
  </si>
  <si>
    <t>Skill/System</t>
  </si>
  <si>
    <t>Peak Week</t>
  </si>
  <si>
    <t>Current %</t>
  </si>
  <si>
    <t>Neural Link</t>
  </si>
  <si>
    <t>Reflex</t>
  </si>
  <si>
    <t>Moro Reflex</t>
  </si>
  <si>
    <t>Startle response</t>
  </si>
  <si>
    <t>Rooting Reflex</t>
  </si>
  <si>
    <t>Feeding reflex</t>
  </si>
  <si>
    <t>Grasp Reflex</t>
  </si>
  <si>
    <t>Palm grasp</t>
  </si>
  <si>
    <t>Motor</t>
  </si>
  <si>
    <t>Head Control</t>
  </si>
  <si>
    <t>Holds head steady</t>
  </si>
  <si>
    <t>Rolling</t>
  </si>
  <si>
    <t>Front to back</t>
  </si>
  <si>
    <t>Sitting</t>
  </si>
  <si>
    <t>Independent sit</t>
  </si>
  <si>
    <t>Crawling</t>
  </si>
  <si>
    <t>Hands and knees</t>
  </si>
  <si>
    <t>Walking</t>
  </si>
  <si>
    <t>Focus</t>
  </si>
  <si>
    <t>Clear at 12 inches</t>
  </si>
  <si>
    <t>Tracking</t>
  </si>
  <si>
    <t>Follows 180°</t>
  </si>
  <si>
    <t>Color</t>
  </si>
  <si>
    <t>Full spectrum</t>
  </si>
  <si>
    <t>Hearing</t>
  </si>
  <si>
    <t>Sound Response</t>
  </si>
  <si>
    <t>Startles to loud</t>
  </si>
  <si>
    <t>Auditory Cortex</t>
  </si>
  <si>
    <t>Voice Recognition</t>
  </si>
  <si>
    <t>Knows caregiver</t>
  </si>
  <si>
    <t>Sound Localization</t>
  </si>
  <si>
    <t>Turns to sound</t>
  </si>
  <si>
    <t>Cognitive</t>
  </si>
  <si>
    <t>Object Permanence</t>
  </si>
  <si>
    <t>Objects exist when hidden</t>
  </si>
  <si>
    <t>Frontal Cortex</t>
  </si>
  <si>
    <t>Cause &amp; Effect</t>
  </si>
  <si>
    <t>Actions have results</t>
  </si>
  <si>
    <t>Social</t>
  </si>
  <si>
    <t>Social Smile</t>
  </si>
  <si>
    <t>Smiles at faces</t>
  </si>
  <si>
    <t>Limbic System</t>
  </si>
  <si>
    <t>Attachment</t>
  </si>
  <si>
    <t>Secure bond</t>
  </si>
  <si>
    <t>📈 DEVELOPMENT MATRIX SUMMARY</t>
  </si>
  <si>
    <t>Skills Tracked</t>
  </si>
  <si>
    <t>Average Progress</t>
  </si>
  <si>
    <t>🍼 A7DO INFANT ANATOMY ENGINE — Birth to 12 Months</t>
  </si>
  <si>
    <t>🧒 INFANT REFERENCE PARAMETERS</t>
  </si>
  <si>
    <t>🔗 LINKED TO DNA ENGINE</t>
  </si>
  <si>
    <t>Reference Age</t>
  </si>
  <si>
    <t>0-12</t>
  </si>
  <si>
    <t>months</t>
  </si>
  <si>
    <t>Infant phase</t>
  </si>
  <si>
    <t>Prenatal/Postnatal age</t>
  </si>
  <si>
    <t>Average Length (birth)</t>
  </si>
  <si>
    <t>Newborn length</t>
  </si>
  <si>
    <t>Post-Birth Age</t>
  </si>
  <si>
    <t>Weeks after birth</t>
  </si>
  <si>
    <t>Average Length (12mo)</t>
  </si>
  <si>
    <t>1 year length</t>
  </si>
  <si>
    <t>Age in Months</t>
  </si>
  <si>
    <t>Months old</t>
  </si>
  <si>
    <t>Average Weight (birth)</t>
  </si>
  <si>
    <t>Newborn weight</t>
  </si>
  <si>
    <t>Average Weight (12mo)</t>
  </si>
  <si>
    <t>1 year weight</t>
  </si>
  <si>
    <t>Head Circumference</t>
  </si>
  <si>
    <t>35-47</t>
  </si>
  <si>
    <t>Birth to 12mo</t>
  </si>
  <si>
    <t>Point 0 Reference</t>
  </si>
  <si>
    <t>Central origin</t>
  </si>
  <si>
    <t>X₀</t>
  </si>
  <si>
    <t>Left/Right axis</t>
  </si>
  <si>
    <t>Y₀</t>
  </si>
  <si>
    <t>Head/Feet axis</t>
  </si>
  <si>
    <t>Z₀</t>
  </si>
  <si>
    <t>Front/Back axis</t>
  </si>
  <si>
    <t>📋 INFANT ANATOMY TABLE — Scaled for 0-12 Months</t>
  </si>
  <si>
    <t>Mass (g)</t>
  </si>
  <si>
    <t>Growth Rate</t>
  </si>
  <si>
    <t>Skull (Fontanelles Open)</t>
  </si>
  <si>
    <t>INF_SKULL</t>
  </si>
  <si>
    <t>Rapid</t>
  </si>
  <si>
    <t>🔄 Growing</t>
  </si>
  <si>
    <t>Frontal Bone (Unfused)</t>
  </si>
  <si>
    <t>INF_FRONTAL</t>
  </si>
  <si>
    <t>Parietal Bones</t>
  </si>
  <si>
    <t>INF_PARIETAL</t>
  </si>
  <si>
    <t>Spine (Cartilaginous)</t>
  </si>
  <si>
    <t>INF_SPINE</t>
  </si>
  <si>
    <t>Moderate</t>
  </si>
  <si>
    <t>Ribs (12 pairs)</t>
  </si>
  <si>
    <t>INF_RIBS</t>
  </si>
  <si>
    <t>Spine</t>
  </si>
  <si>
    <t>Pelvis (Unfused)</t>
  </si>
  <si>
    <t>INF_PELVIS</t>
  </si>
  <si>
    <t>Femur (L/R)</t>
  </si>
  <si>
    <t>INF_FEMUR</t>
  </si>
  <si>
    <t>Pelvis</t>
  </si>
  <si>
    <t>Tibia/Fibula (L/R)</t>
  </si>
  <si>
    <t>INF_TIBIA</t>
  </si>
  <si>
    <t>Femur</t>
  </si>
  <si>
    <t>Humerus (L/R)</t>
  </si>
  <si>
    <t>INF_HUMERUS</t>
  </si>
  <si>
    <t>Scapula</t>
  </si>
  <si>
    <t>Radius/Ulna (L/R)</t>
  </si>
  <si>
    <t>INF_RADIUS</t>
  </si>
  <si>
    <t>Humerus</t>
  </si>
  <si>
    <t>Hand Bones (L/R)</t>
  </si>
  <si>
    <t>INF_HAND</t>
  </si>
  <si>
    <t>Radius/Ulna</t>
  </si>
  <si>
    <t>Foot Bones (L/R)</t>
  </si>
  <si>
    <t>INF_FOOT</t>
  </si>
  <si>
    <t>Tibia/Fibula</t>
  </si>
  <si>
    <t>INF_BRAIN</t>
  </si>
  <si>
    <t>Very Rapid</t>
  </si>
  <si>
    <t>INF_HEART</t>
  </si>
  <si>
    <t>INF_LUNGS</t>
  </si>
  <si>
    <t>Ribs</t>
  </si>
  <si>
    <t>INF_LIVER</t>
  </si>
  <si>
    <t>INF_STOMACH</t>
  </si>
  <si>
    <t>INF_INTESTINES</t>
  </si>
  <si>
    <t>INF_KIDNEYS</t>
  </si>
  <si>
    <t>INF_EYES</t>
  </si>
  <si>
    <t>Slow</t>
  </si>
  <si>
    <t>INF_EARS</t>
  </si>
  <si>
    <t>Core Muscles</t>
  </si>
  <si>
    <t>INF_CORE</t>
  </si>
  <si>
    <t>Leg Muscles</t>
  </si>
  <si>
    <t>INF_LEG</t>
  </si>
  <si>
    <t>Arm Muscles</t>
  </si>
  <si>
    <t>INF_ARM</t>
  </si>
  <si>
    <t>Neck Muscles</t>
  </si>
  <si>
    <t>INF_NECK</t>
  </si>
  <si>
    <t>INF_FACE</t>
  </si>
  <si>
    <t>Anterior Fontanelle</t>
  </si>
  <si>
    <t>Special</t>
  </si>
  <si>
    <t>INF_ANT_FONT</t>
  </si>
  <si>
    <t>Closing</t>
  </si>
  <si>
    <t>⏳ Open</t>
  </si>
  <si>
    <t>Posterior Fontanelle</t>
  </si>
  <si>
    <t>INF_POST_FONT</t>
  </si>
  <si>
    <t>Umbilical Stump</t>
  </si>
  <si>
    <t>INF_UMBILICAL</t>
  </si>
  <si>
    <t>Abdomen</t>
  </si>
  <si>
    <t>Healing</t>
  </si>
  <si>
    <t>🔄 Healing</t>
  </si>
  <si>
    <t>Thymus (Large)</t>
  </si>
  <si>
    <t>INF_THYMUS</t>
  </si>
  <si>
    <t>Immune</t>
  </si>
  <si>
    <t>Peak</t>
  </si>
  <si>
    <t>✅ Active</t>
  </si>
  <si>
    <t>📊 INFANT ANATOMY SUMMARY</t>
  </si>
  <si>
    <t>Total Mass (g)</t>
  </si>
  <si>
    <t>Organs</t>
  </si>
  <si>
    <t>Muscles</t>
  </si>
  <si>
    <t>⏳ Transitioning</t>
  </si>
  <si>
    <t>🧒 A7DO CHILD DEVELOPMENT ENGINE — Phase 3: Infant → Child (1-12 Years)</t>
  </si>
  <si>
    <t>⚙️ DEVELOPMENT CONTROL PANEL</t>
  </si>
  <si>
    <t>🧬 SUBSYSTEM STATUS</t>
  </si>
  <si>
    <t>Subsystem</t>
  </si>
  <si>
    <t>Function</t>
  </si>
  <si>
    <t>Current Week (from DNA)</t>
  </si>
  <si>
    <t>Total weeks since conception</t>
  </si>
  <si>
    <t>🟢 Active</t>
  </si>
  <si>
    <t>Post-Birth Weeks</t>
  </si>
  <si>
    <t>Weeks since birth</t>
  </si>
  <si>
    <t>🟣 Refined</t>
  </si>
  <si>
    <t>Multi-modal perception</t>
  </si>
  <si>
    <t>Age in Years</t>
  </si>
  <si>
    <t>Child's age</t>
  </si>
  <si>
    <t>🟠 Developing</t>
  </si>
  <si>
    <t>Hormonal regulation</t>
  </si>
  <si>
    <t>Development Phase</t>
  </si>
  <si>
    <t>Current stage</t>
  </si>
  <si>
    <t>Cognitive Layer</t>
  </si>
  <si>
    <t>🔵 Emerging</t>
  </si>
  <si>
    <t>Language &amp; reasoning</t>
  </si>
  <si>
    <t>Cognitive Level</t>
  </si>
  <si>
    <t>Reasoning ability</t>
  </si>
  <si>
    <t>Social Layer</t>
  </si>
  <si>
    <t>⚪ Forming</t>
  </si>
  <si>
    <t>Emotional awareness</t>
  </si>
  <si>
    <t>Language Level</t>
  </si>
  <si>
    <t>Communication ability</t>
  </si>
  <si>
    <t>Identity Layer</t>
  </si>
  <si>
    <t>⏳ Pre-Identity</t>
  </si>
  <si>
    <t>Self-concept</t>
  </si>
  <si>
    <t>Social Level</t>
  </si>
  <si>
    <t>Interaction ability</t>
  </si>
  <si>
    <t>🧠 CHILD DEVELOPMENT MATRIX — Cognitive, Neural &amp; Social</t>
  </si>
  <si>
    <t>Learning Type</t>
  </si>
  <si>
    <t>Language Cortex</t>
  </si>
  <si>
    <t>Speech and Comprehension</t>
  </si>
  <si>
    <t>Auditory Feedback</t>
  </si>
  <si>
    <t>Associative Learning</t>
  </si>
  <si>
    <t>Cognition</t>
  </si>
  <si>
    <t>Prefrontal Cortex</t>
  </si>
  <si>
    <t>Decision Making</t>
  </si>
  <si>
    <t>Experience Feedback</t>
  </si>
  <si>
    <t>Reasoning</t>
  </si>
  <si>
    <t>Hippocampus</t>
  </si>
  <si>
    <t>Memory Formation</t>
  </si>
  <si>
    <t>Sensory Feedback</t>
  </si>
  <si>
    <t>Declarative Learning</t>
  </si>
  <si>
    <t>Amygdala</t>
  </si>
  <si>
    <t>Neural</t>
  </si>
  <si>
    <t>Emotion Processing</t>
  </si>
  <si>
    <t>Neurochemical Feedback</t>
  </si>
  <si>
    <t>Visual Recognition</t>
  </si>
  <si>
    <t>Photoreceptors</t>
  </si>
  <si>
    <t>Pattern Learning</t>
  </si>
  <si>
    <t>Sound Recognition</t>
  </si>
  <si>
    <t>Cochlear Cells</t>
  </si>
  <si>
    <t>Somatosensory Cortex</t>
  </si>
  <si>
    <t>Tactile Awareness</t>
  </si>
  <si>
    <t>Complex Motion Control</t>
  </si>
  <si>
    <t>Motor Learning</t>
  </si>
  <si>
    <t>Fine Coordination</t>
  </si>
  <si>
    <t>Adaptive Learning</t>
  </si>
  <si>
    <t>Social Emotion Regulation</t>
  </si>
  <si>
    <t>Endocrine System</t>
  </si>
  <si>
    <t>Metabolic</t>
  </si>
  <si>
    <t>Hormonal Regulation</t>
  </si>
  <si>
    <t>Internal Sensors</t>
  </si>
  <si>
    <t>Homeostatic Learning</t>
  </si>
  <si>
    <t>🏆 CHILD DEVELOPMENTAL MILESTONES (1-12 Years)</t>
  </si>
  <si>
    <t>🧠 COGNITIVE DEVELOPMENT DASHBOARD</t>
  </si>
  <si>
    <t>Age (Years)</t>
  </si>
  <si>
    <t>Formula</t>
  </si>
  <si>
    <t>Walks independently</t>
  </si>
  <si>
    <t>Learning Rate</t>
  </si>
  <si>
    <t>NeuralGain × Experience</t>
  </si>
  <si>
    <t>Runs, climbs stairs</t>
  </si>
  <si>
    <t>Symbolic play begins</t>
  </si>
  <si>
    <t>Hippocampus × Age</t>
  </si>
  <si>
    <t>Kicks ball, jumps</t>
  </si>
  <si>
    <t>Pretend play</t>
  </si>
  <si>
    <t>Attention Span</t>
  </si>
  <si>
    <t>Prefrontal × Age (min)</t>
  </si>
  <si>
    <t>Pedals tricycle</t>
  </si>
  <si>
    <t>Sorts by shape/color</t>
  </si>
  <si>
    <t>Language Index</t>
  </si>
  <si>
    <t>Auditory × Language Cortex</t>
  </si>
  <si>
    <t>Hops on one foot</t>
  </si>
  <si>
    <t>Counts to 10</t>
  </si>
  <si>
    <t>Prefrontal Maturity</t>
  </si>
  <si>
    <t>Skips, catches ball</t>
  </si>
  <si>
    <t>Understands time</t>
  </si>
  <si>
    <t>Social-Emotional</t>
  </si>
  <si>
    <t>Limbic × Social Experience</t>
  </si>
  <si>
    <t>Rides bicycle</t>
  </si>
  <si>
    <t>Reads simple words</t>
  </si>
  <si>
    <t>Overall Cognitive</t>
  </si>
  <si>
    <t>Average All Metrics</t>
  </si>
  <si>
    <t>Ties shoelaces</t>
  </si>
  <si>
    <t>Logical reasoning</t>
  </si>
  <si>
    <t>Reading fluency</t>
  </si>
  <si>
    <t>Team activities</t>
  </si>
  <si>
    <t>Coordinated sports</t>
  </si>
  <si>
    <t>Abstract concepts</t>
  </si>
  <si>
    <t>Writing paragraphs</t>
  </si>
  <si>
    <t>Peer influence</t>
  </si>
  <si>
    <t>Fine motor refined</t>
  </si>
  <si>
    <t>Problem solving</t>
  </si>
  <si>
    <t>Persuasive language</t>
  </si>
  <si>
    <t>Group identity</t>
  </si>
  <si>
    <t>Complex coordination</t>
  </si>
  <si>
    <t>Hypothetical thinking</t>
  </si>
  <si>
    <t>Metaphors/idioms</t>
  </si>
  <si>
    <t>Strong friendships</t>
  </si>
  <si>
    <t>Pre-puberty changes</t>
  </si>
  <si>
    <t>Critical thinking</t>
  </si>
  <si>
    <t>Complex narratives</t>
  </si>
  <si>
    <t>Self-awareness</t>
  </si>
  <si>
    <t>Puberty begins</t>
  </si>
  <si>
    <t>Abstract reasoning</t>
  </si>
  <si>
    <t>Adult-like language</t>
  </si>
  <si>
    <t>Identity exploration</t>
  </si>
  <si>
    <t>📊 MILESTONE SUMMARY</t>
  </si>
  <si>
    <t>Milestones Achieved</t>
  </si>
  <si>
    <t>Next Milestone Age</t>
  </si>
  <si>
    <t>Progress %</t>
  </si>
  <si>
    <t>Source System</t>
  </si>
  <si>
    <t>Data</t>
  </si>
  <si>
    <t>Timeline sync</t>
  </si>
  <si>
    <t>Infant Development</t>
  </si>
  <si>
    <t>Baseline metrics</t>
  </si>
  <si>
    <t>Visual Maturity</t>
  </si>
  <si>
    <t>Sensory input</t>
  </si>
  <si>
    <t>Motor Pathways</t>
  </si>
  <si>
    <t>Movement control</t>
  </si>
  <si>
    <t>🧠 COGNITION &amp; LANGUAGE INTEGRATION</t>
  </si>
  <si>
    <t>Cognition %</t>
  </si>
  <si>
    <t>Language %</t>
  </si>
  <si>
    <t>Active Neural Pathways</t>
  </si>
  <si>
    <t>🧒 A7DO CHILD ANATOMY ENGINE — 1 to 12 Years</t>
  </si>
  <si>
    <t>📏 CHILD REFERENCE PARAMETERS</t>
  </si>
  <si>
    <t>years</t>
  </si>
  <si>
    <t>Child phase</t>
  </si>
  <si>
    <t>Total weeks</t>
  </si>
  <si>
    <t>Height (1 year)</t>
  </si>
  <si>
    <t>Average toddler</t>
  </si>
  <si>
    <t>Height (6 years)</t>
  </si>
  <si>
    <t>Early childhood</t>
  </si>
  <si>
    <t>Height (12 years)</t>
  </si>
  <si>
    <t>Pre-adolescent</t>
  </si>
  <si>
    <t>Height Scale</t>
  </si>
  <si>
    <t>% of adult height</t>
  </si>
  <si>
    <t>Weight (1 year)</t>
  </si>
  <si>
    <t>Mass Scale</t>
  </si>
  <si>
    <t>% of adult mass</t>
  </si>
  <si>
    <t>Weight (6 years)</t>
  </si>
  <si>
    <t>Weight (12 years)</t>
  </si>
  <si>
    <t>📋 CHILD ANATOMY TABLE — Scaled for 1-12 Years</t>
  </si>
  <si>
    <t>Child Size (cm)</t>
  </si>
  <si>
    <t>Adult Size (cm)</t>
  </si>
  <si>
    <t>Growth %</t>
  </si>
  <si>
    <t>Skull (Fused)</t>
  </si>
  <si>
    <t>CH_SKULL</t>
  </si>
  <si>
    <t>CH_FRONTAL</t>
  </si>
  <si>
    <t>CH_PARIETAL</t>
  </si>
  <si>
    <t>Spine (33 vertebrae)</t>
  </si>
  <si>
    <t>CH_SPINE</t>
  </si>
  <si>
    <t>Ribs (24)</t>
  </si>
  <si>
    <t>CH_RIBS</t>
  </si>
  <si>
    <t>CH_STERNUM</t>
  </si>
  <si>
    <t>CH_PELVIS</t>
  </si>
  <si>
    <t>CH_FEMUR</t>
  </si>
  <si>
    <t>Tibia (L/R)</t>
  </si>
  <si>
    <t>CH_TIBIA</t>
  </si>
  <si>
    <t>Fibula (L/R)</t>
  </si>
  <si>
    <t>CH_FIBULA</t>
  </si>
  <si>
    <t>Tibia</t>
  </si>
  <si>
    <t>Foot (L/R)</t>
  </si>
  <si>
    <t>CH_FOOT</t>
  </si>
  <si>
    <t>Scapula (L/R)</t>
  </si>
  <si>
    <t>CH_SCAPULA</t>
  </si>
  <si>
    <t>Clavicle (L/R)</t>
  </si>
  <si>
    <t>CH_CLAVICLE</t>
  </si>
  <si>
    <t>CH_HUMERUS</t>
  </si>
  <si>
    <t>Radius (L/R)</t>
  </si>
  <si>
    <t>CH_RADIUS</t>
  </si>
  <si>
    <t>Ulna (L/R)</t>
  </si>
  <si>
    <t>CH_ULNA</t>
  </si>
  <si>
    <t>Hand (L/R)</t>
  </si>
  <si>
    <t>CH_HAND</t>
  </si>
  <si>
    <t>Radius</t>
  </si>
  <si>
    <t>CH_BRAIN</t>
  </si>
  <si>
    <t>CH_HEART</t>
  </si>
  <si>
    <t>CH_LUNGS</t>
  </si>
  <si>
    <t>CH_LIVER</t>
  </si>
  <si>
    <t>CH_STOMACH</t>
  </si>
  <si>
    <t>CH_SM_INT</t>
  </si>
  <si>
    <t>CH_LG_INT</t>
  </si>
  <si>
    <t>Kidneys (L/R)</t>
  </si>
  <si>
    <t>CH_KIDNEYS</t>
  </si>
  <si>
    <t>CH_PANCREAS</t>
  </si>
  <si>
    <t>CH_SPLEEN</t>
  </si>
  <si>
    <t>CH_EYES</t>
  </si>
  <si>
    <t>CH_EARS</t>
  </si>
  <si>
    <t>CH_THYMUS</t>
  </si>
  <si>
    <t>✅ Peak</t>
  </si>
  <si>
    <t>Quadriceps</t>
  </si>
  <si>
    <t>CH_QUAD</t>
  </si>
  <si>
    <t>Hamstrings</t>
  </si>
  <si>
    <t>CH_HAM</t>
  </si>
  <si>
    <t>CH_GLUT</t>
  </si>
  <si>
    <t>CH_GASTROC</t>
  </si>
  <si>
    <t>CH_CORE</t>
  </si>
  <si>
    <t>CH_PECT</t>
  </si>
  <si>
    <t>CH_LATS</t>
  </si>
  <si>
    <t>Deltoids</t>
  </si>
  <si>
    <t>CH_DELTS</t>
  </si>
  <si>
    <t>CH_BICEPS</t>
  </si>
  <si>
    <t>CH_TRICEPS</t>
  </si>
  <si>
    <t>CH_CEREBRUM</t>
  </si>
  <si>
    <t>CH_CEREBELLUM</t>
  </si>
  <si>
    <t>CH_BRAINSTEM</t>
  </si>
  <si>
    <t>CH_SPINAL</t>
  </si>
  <si>
    <t>CH_PREFRONTAL</t>
  </si>
  <si>
    <t>📊 CHILD ANATOMY SUMMARY</t>
  </si>
  <si>
    <t>🔗 SYSTEM LINKS</t>
  </si>
  <si>
    <t>Avg Growth %</t>
  </si>
  <si>
    <t>Avg Child Size</t>
  </si>
  <si>
    <t>Week Sync</t>
  </si>
  <si>
    <t>Timeline</t>
  </si>
  <si>
    <t>Infant Anatomy</t>
  </si>
  <si>
    <t>Baseline</t>
  </si>
  <si>
    <t>Adult Anatomy</t>
  </si>
  <si>
    <t>Maturity target</t>
  </si>
  <si>
    <t>Child Development</t>
  </si>
  <si>
    <t>Neural integration</t>
  </si>
  <si>
    <t>🔄 Active</t>
  </si>
  <si>
    <t>📈 CHILD vs ADULT COMPARISON</t>
  </si>
  <si>
    <t>Child Value</t>
  </si>
  <si>
    <t>% of Adult</t>
  </si>
  <si>
    <t>Average Height</t>
  </si>
  <si>
    <t>Average Mass</t>
  </si>
  <si>
    <t>Brain Size</t>
  </si>
  <si>
    <t>1400 g</t>
  </si>
  <si>
    <t>Overall Maturity</t>
  </si>
  <si>
    <t>🧠 A7DO COGNITION &amp; LANGUAGE INTEGRATION MATRIX</t>
  </si>
  <si>
    <t>🎯 COGNITIVE METRICS</t>
  </si>
  <si>
    <t>From DNA Engine</t>
  </si>
  <si>
    <t>Development time</t>
  </si>
  <si>
    <t>Average sensory maturity</t>
  </si>
  <si>
    <t>Auto-detected</t>
  </si>
  <si>
    <t>📋 COGNITION &amp; LANGUAGE MATRIX</t>
  </si>
  <si>
    <t>Input Source</t>
  </si>
  <si>
    <t>Output Target</t>
  </si>
  <si>
    <t>Emotion Association</t>
  </si>
  <si>
    <t>Emotion Regulation</t>
  </si>
  <si>
    <t>Cerebrum Integration</t>
  </si>
  <si>
    <t>Concept Formation</t>
  </si>
  <si>
    <t>Multisensory Feedback</t>
  </si>
  <si>
    <t>All Cortices</t>
  </si>
  <si>
    <t>Abstract Learning</t>
  </si>
  <si>
    <t>Broca's Area</t>
  </si>
  <si>
    <t>Language</t>
  </si>
  <si>
    <t>Speech Production</t>
  </si>
  <si>
    <t>Symbolic Learning</t>
  </si>
  <si>
    <t>Communication</t>
  </si>
  <si>
    <t>Wernicke's Area</t>
  </si>
  <si>
    <t>Comprehension</t>
  </si>
  <si>
    <t>Semantic Learning</t>
  </si>
  <si>
    <t>Sound Processing</t>
  </si>
  <si>
    <t>Symbol Recognition</t>
  </si>
  <si>
    <t>Motor Cortex (Laryngeal)</t>
  </si>
  <si>
    <t>Vocal Articulation</t>
  </si>
  <si>
    <t>Cerebellum (Speech)</t>
  </si>
  <si>
    <t>Speech Coordination</t>
  </si>
  <si>
    <t>🗣️ LANGUAGE MILESTONES</t>
  </si>
  <si>
    <t>🔗 NEURAL PATHWAY CONNECTIONS</t>
  </si>
  <si>
    <t>Age (Months)</t>
  </si>
  <si>
    <t>Achieved Week</t>
  </si>
  <si>
    <t>Signal Type</t>
  </si>
  <si>
    <t>Crying</t>
  </si>
  <si>
    <t>Basic vocalization</t>
  </si>
  <si>
    <t>Sensory → Cognition</t>
  </si>
  <si>
    <t>Sensory Cortices</t>
  </si>
  <si>
    <t>Perception</t>
  </si>
  <si>
    <t>Cooing</t>
  </si>
  <si>
    <t>Vowel-like sounds</t>
  </si>
  <si>
    <t>Memory → Reasoning</t>
  </si>
  <si>
    <t>Recall</t>
  </si>
  <si>
    <t>Babbling</t>
  </si>
  <si>
    <t>Consonant-vowel combos (ba-ba)</t>
  </si>
  <si>
    <t>Emotion → Decision</t>
  </si>
  <si>
    <t>Valence</t>
  </si>
  <si>
    <t>Varied Babbling</t>
  </si>
  <si>
    <t>Different sounds and tones</t>
  </si>
  <si>
    <t>Auditory → Language</t>
  </si>
  <si>
    <t>Phonemes</t>
  </si>
  <si>
    <t>Gestures</t>
  </si>
  <si>
    <t>Pointing, waving</t>
  </si>
  <si>
    <t>Comprehension → Production</t>
  </si>
  <si>
    <t>Semantic</t>
  </si>
  <si>
    <t>First Words</t>
  </si>
  <si>
    <t>Mama, Dada, simple nouns</t>
  </si>
  <si>
    <t>Production → Motor</t>
  </si>
  <si>
    <t>Syntax</t>
  </si>
  <si>
    <t>Two-Word Phrases</t>
  </si>
  <si>
    <t>"More milk", "Daddy go"</t>
  </si>
  <si>
    <t>Visual → Reading</t>
  </si>
  <si>
    <t>Graphemes</t>
  </si>
  <si>
    <t>Sentences</t>
  </si>
  <si>
    <t>3-4 word sentences</t>
  </si>
  <si>
    <t>Cerebellum → Speech</t>
  </si>
  <si>
    <t>Coordination</t>
  </si>
  <si>
    <t>Complex Speech</t>
  </si>
  <si>
    <t>Full sentences, questions</t>
  </si>
  <si>
    <t>Storytelling</t>
  </si>
  <si>
    <t>Narratives, past tense</t>
  </si>
  <si>
    <t>Reading Ready</t>
  </si>
  <si>
    <t>Phonemic awareness</t>
  </si>
  <si>
    <t>🧠 COGNITIVE MILESTONES</t>
  </si>
  <si>
    <t>📅 DEVELOPMENT TIMELINE PREVIEW</t>
  </si>
  <si>
    <t>Cognitive Ability</t>
  </si>
  <si>
    <t>Language Ability</t>
  </si>
  <si>
    <t>Reflexive Responses</t>
  </si>
  <si>
    <t>Automatic reactions to stimuli</t>
  </si>
  <si>
    <t>Pre-Birth</t>
  </si>
  <si>
    <t>Hippocampus/Amygdala Activate</t>
  </si>
  <si>
    <t>Auditory/Visual Cortex Forming</t>
  </si>
  <si>
    <t>Object Tracking</t>
  </si>
  <si>
    <t>Follows moving objects with eyes</t>
  </si>
  <si>
    <t>Prefrontal/Limbic Begin</t>
  </si>
  <si>
    <t>Broca/Wernicke Activate</t>
  </si>
  <si>
    <t>Knows objects exist when hidden</t>
  </si>
  <si>
    <t>Understands actions have results</t>
  </si>
  <si>
    <t>Problem Solving</t>
  </si>
  <si>
    <t>Simple trial and error</t>
  </si>
  <si>
    <t>1 year</t>
  </si>
  <si>
    <t>Symbolic Play</t>
  </si>
  <si>
    <t>Pretend play begins</t>
  </si>
  <si>
    <t>2 years</t>
  </si>
  <si>
    <t>Categorization</t>
  </si>
  <si>
    <t>Groups similar objects</t>
  </si>
  <si>
    <t>3 years</t>
  </si>
  <si>
    <t>Theory of Mind</t>
  </si>
  <si>
    <t>Understands others have thoughts</t>
  </si>
  <si>
    <t>5 years</t>
  </si>
  <si>
    <t>Abstract Concepts</t>
  </si>
  <si>
    <t>Logical Reasoning</t>
  </si>
  <si>
    <t>If-then thinking</t>
  </si>
  <si>
    <t>6 years</t>
  </si>
  <si>
    <t>Metacognition</t>
  </si>
  <si>
    <t>Full Literacy</t>
  </si>
  <si>
    <t>Time, numbers, letters</t>
  </si>
  <si>
    <t>Thinking about thinking</t>
  </si>
  <si>
    <t>📊 COGNITION &amp; LANGUAGE SUMMARY</t>
  </si>
  <si>
    <t>🔗 SYSTEM CONNECTIONS</t>
  </si>
  <si>
    <t>Total Components</t>
  </si>
  <si>
    <t>Cognitive Subsystem</t>
  </si>
  <si>
    <t>Timeline driver</t>
  </si>
  <si>
    <t>Language Subsystem</t>
  </si>
  <si>
    <t>Perception input</t>
  </si>
  <si>
    <t>Sensory/Motor Support</t>
  </si>
  <si>
    <t>Processing power</t>
  </si>
  <si>
    <t>Cognitive Index</t>
  </si>
  <si>
    <t>Development tracking</t>
  </si>
  <si>
    <t>Language Milestones Achieved</t>
  </si>
  <si>
    <t>Milestones</t>
  </si>
  <si>
    <t>Early development</t>
  </si>
  <si>
    <t>Cognitive Milestones Achieved</t>
  </si>
  <si>
    <t>Child Anatomy Engine</t>
  </si>
  <si>
    <t>Physical growth</t>
  </si>
  <si>
    <t>O₂ Supply</t>
  </si>
  <si>
    <t>Metabolic support</t>
  </si>
  <si>
    <t>Blood Flow</t>
  </si>
  <si>
    <t>Nutrient delivery</t>
  </si>
  <si>
    <t>Communication Readiness</t>
  </si>
  <si>
    <t>🧠 A7DO ADOLESCENT DEVELOPMENT ENGINE — IDENTITY &amp; ABSTRACT REASONING</t>
  </si>
  <si>
    <t>🎯 ADOLESCENT COGNITIVE METRICS</t>
  </si>
  <si>
    <t>Abstract Reasoning %</t>
  </si>
  <si>
    <t>Emotional Regulation %</t>
  </si>
  <si>
    <t>Adolescent age</t>
  </si>
  <si>
    <t>Identity Formation %</t>
  </si>
  <si>
    <t>Monthly age</t>
  </si>
  <si>
    <t>Social Intelligence %</t>
  </si>
  <si>
    <t>Executive Function %</t>
  </si>
  <si>
    <t>Puberty Status</t>
  </si>
  <si>
    <t>Hormonal stage</t>
  </si>
  <si>
    <t>Risk Assessment %</t>
  </si>
  <si>
    <t>Self-Awareness %</t>
  </si>
  <si>
    <t>Emotional Variance</t>
  </si>
  <si>
    <t>factor</t>
  </si>
  <si>
    <t>Peaks mid-teens</t>
  </si>
  <si>
    <t>Impulse Control %</t>
  </si>
  <si>
    <t>Experience Gain</t>
  </si>
  <si>
    <t>Accumulated experience</t>
  </si>
  <si>
    <t>Moral Reasoning %</t>
  </si>
  <si>
    <t>Identity Factor</t>
  </si>
  <si>
    <t>Self-concept strength</t>
  </si>
  <si>
    <t>Overall Maturity %</t>
  </si>
  <si>
    <t>Age (Numeric)</t>
  </si>
  <si>
    <t>For formula calculations</t>
  </si>
  <si>
    <t>📋 ADOLESCENT DEVELOPMENT MATRIX</t>
  </si>
  <si>
    <t>Abstract Reasoning</t>
  </si>
  <si>
    <t>Conceptual Learning</t>
  </si>
  <si>
    <t>Memory Consolidation</t>
  </si>
  <si>
    <t>Social Emotion Integration</t>
  </si>
  <si>
    <t>Complex Speech Production</t>
  </si>
  <si>
    <t>Semantic Comprehension</t>
  </si>
  <si>
    <t>Fine Motor Coordination</t>
  </si>
  <si>
    <t>Controlled Motion</t>
  </si>
  <si>
    <t>Musculoskeletal System</t>
  </si>
  <si>
    <t>Neural System</t>
  </si>
  <si>
    <t>Identity Formation</t>
  </si>
  <si>
    <t>Reflective Learning</t>
  </si>
  <si>
    <t>🌱 PUBERTY &amp; GROWTH MILESTONES</t>
  </si>
  <si>
    <t>🪞 IDENTITY FORMATION STAGES (Erikson/Marcia)</t>
  </si>
  <si>
    <t>Target Week</t>
  </si>
  <si>
    <t>Stage</t>
  </si>
  <si>
    <t>Age Range</t>
  </si>
  <si>
    <t>Progress</t>
  </si>
  <si>
    <t>Growth Spurt Begins</t>
  </si>
  <si>
    <t>Accelerated height increase</t>
  </si>
  <si>
    <t>Identity Diffusion</t>
  </si>
  <si>
    <t>No clear identity, exploring</t>
  </si>
  <si>
    <t>Body Composition Changes</t>
  </si>
  <si>
    <t>Fat/muscle redistribution</t>
  </si>
  <si>
    <t>Identity Foreclosure</t>
  </si>
  <si>
    <t>Adopting others' values</t>
  </si>
  <si>
    <t>Secondary Sex Characteristics</t>
  </si>
  <si>
    <t>Physical maturation begins</t>
  </si>
  <si>
    <t>Identity Moratorium</t>
  </si>
  <si>
    <t>14-16</t>
  </si>
  <si>
    <t>Active exploration, crisis</t>
  </si>
  <si>
    <t>Voice Changes</t>
  </si>
  <si>
    <t>Vocal cord development</t>
  </si>
  <si>
    <t>Identity Achievement</t>
  </si>
  <si>
    <t>16-18</t>
  </si>
  <si>
    <t>Committed to chosen identity</t>
  </si>
  <si>
    <t>Peak Growth Velocity</t>
  </si>
  <si>
    <t>Maximum height growth rate</t>
  </si>
  <si>
    <t>Identity Integration</t>
  </si>
  <si>
    <t>18+</t>
  </si>
  <si>
    <t>Stable, integrated self</t>
  </si>
  <si>
    <t>Emotional Intensity Peak</t>
  </si>
  <si>
    <t>Highest emotional variance</t>
  </si>
  <si>
    <t>Abstract Thinking Emerges</t>
  </si>
  <si>
    <t>Hypothetical reasoning</t>
  </si>
  <si>
    <t>Identity Consolidation</t>
  </si>
  <si>
    <t>Self-concept stabilizes</t>
  </si>
  <si>
    <t>Prefrontal Maturation</t>
  </si>
  <si>
    <t>Executive function online</t>
  </si>
  <si>
    <t>Brain Fully Mature</t>
  </si>
  <si>
    <t>Neural pruning complete</t>
  </si>
  <si>
    <t>🔗 ADOLESCENT NEURAL PATHWAY MATURATION</t>
  </si>
  <si>
    <t>🧠 BRAIN DEVELOPMENT METRICS</t>
  </si>
  <si>
    <t>Maturation Age</t>
  </si>
  <si>
    <t>Current Age</t>
  </si>
  <si>
    <t>Child (10)</t>
  </si>
  <si>
    <t>Adolescent</t>
  </si>
  <si>
    <t>Adult (25)</t>
  </si>
  <si>
    <t>Prefrontal-Limbic</t>
  </si>
  <si>
    <t>Gray Matter Volume</t>
  </si>
  <si>
    <t>Executive Control</t>
  </si>
  <si>
    <t>White Matter Volume</t>
  </si>
  <si>
    <t>Emotional Regulation</t>
  </si>
  <si>
    <t>Synaptic Pruning</t>
  </si>
  <si>
    <t>Memory Integration</t>
  </si>
  <si>
    <t>Social Cognition</t>
  </si>
  <si>
    <t>Prefrontal Connectivity</t>
  </si>
  <si>
    <t>Reward System Balance</t>
  </si>
  <si>
    <t>Risk Evaluation</t>
  </si>
  <si>
    <t>📊 ADOLESCENT DEVELOPMENT SUMMARY</t>
  </si>
  <si>
    <t>Total Matrix Components</t>
  </si>
  <si>
    <t>🟢 Connected</t>
  </si>
  <si>
    <t>Cognition &amp; Language</t>
  </si>
  <si>
    <t>Cognitive Base</t>
  </si>
  <si>
    <t>Foundation metrics</t>
  </si>
  <si>
    <t>Child Metrics</t>
  </si>
  <si>
    <t>Development history</t>
  </si>
  <si>
    <t>Motor Subsystem</t>
  </si>
  <si>
    <t>Metabolic Subsystem</t>
  </si>
  <si>
    <t>Puberty Milestones Achieved</t>
  </si>
  <si>
    <t>Identity Stages Completed</t>
  </si>
  <si>
    <t>Neural Pathways Mature</t>
  </si>
  <si>
    <t>Overall Adolescent Progress</t>
  </si>
  <si>
    <t>⚙️ ADOLESCENT INTEGRATION FORMULAS</t>
  </si>
  <si>
    <t>Formula Name</t>
  </si>
  <si>
    <t>Expression</t>
  </si>
  <si>
    <t>Current Value</t>
  </si>
  <si>
    <t>Higher cognition emergence</t>
  </si>
  <si>
    <t>Self-concept development</t>
  </si>
  <si>
    <t>Expression Capacity</t>
  </si>
  <si>
    <t>Communication sophistication</t>
  </si>
  <si>
    <t>Emotional Balance</t>
  </si>
  <si>
    <t>Stability vs instability</t>
  </si>
  <si>
    <t>Risk-Reward Ratio</t>
  </si>
  <si>
    <t>Decision quality factor</t>
  </si>
  <si>
    <t>Maturity Index</t>
  </si>
  <si>
    <t>Overall development score</t>
  </si>
  <si>
    <t>🧠 A7DO ADULT COGNITION ENGINE — WISDOM &amp; CREATIVE SYNTHESIS</t>
  </si>
  <si>
    <t>🎯 ADULT COGNITIVE METRICS</t>
  </si>
  <si>
    <t>Strategic Reasoning %</t>
  </si>
  <si>
    <t>Emotional Intelligence %</t>
  </si>
  <si>
    <t>Adult age</t>
  </si>
  <si>
    <t>Long-Term Memory %</t>
  </si>
  <si>
    <t>For formulas</t>
  </si>
  <si>
    <t>Creative Synthesis %</t>
  </si>
  <si>
    <t>Meta-Cognition %</t>
  </si>
  <si>
    <t>Wisdom Index %</t>
  </si>
  <si>
    <t>Accumulated wisdom</t>
  </si>
  <si>
    <t>Stability factor</t>
  </si>
  <si>
    <t>Memory Depth</t>
  </si>
  <si>
    <t>Long-term storage</t>
  </si>
  <si>
    <t>Reasoning Complexity</t>
  </si>
  <si>
    <t>Analytical depth</t>
  </si>
  <si>
    <t>Creative Coherence</t>
  </si>
  <si>
    <t>Synthesis capacity</t>
  </si>
  <si>
    <t>📋 ADULT COGNITION MATRIX</t>
  </si>
  <si>
    <t>Strategic Reasoning</t>
  </si>
  <si>
    <t>Analytical Learning</t>
  </si>
  <si>
    <t>Long-Term Memory</t>
  </si>
  <si>
    <t>Emotional Intelligence</t>
  </si>
  <si>
    <t>Empathy &amp; Social Awareness</t>
  </si>
  <si>
    <t>Complex Expression</t>
  </si>
  <si>
    <t>Semantic Abstraction</t>
  </si>
  <si>
    <t>Precision Coordination</t>
  </si>
  <si>
    <t>Intentional Motion</t>
  </si>
  <si>
    <t>Homeostatic Regulation</t>
  </si>
  <si>
    <t>Creative Synthesis</t>
  </si>
  <si>
    <t>🌱 ADULT LIFE STAGE MILESTONES</t>
  </si>
  <si>
    <t>🧠 WISDOM &amp; CREATIVITY DASHBOARD</t>
  </si>
  <si>
    <t>Life Stage</t>
  </si>
  <si>
    <t>Young Adult</t>
  </si>
  <si>
    <t>Legal Adulthood</t>
  </si>
  <si>
    <t>Creativity Index</t>
  </si>
  <si>
    <t>Cognition + Experience + Emotion</t>
  </si>
  <si>
    <t>Insight Factor</t>
  </si>
  <si>
    <t>Memory × Reasoning</t>
  </si>
  <si>
    <t>Prime Adult</t>
  </si>
  <si>
    <t>Peak Physical Condition</t>
  </si>
  <si>
    <t>Language × Coherence</t>
  </si>
  <si>
    <t>Experience Integration</t>
  </si>
  <si>
    <t>Emotional Wisdom</t>
  </si>
  <si>
    <t>Balance × Experience</t>
  </si>
  <si>
    <t>Integrated feeling-thinking</t>
  </si>
  <si>
    <t>Career Mastery</t>
  </si>
  <si>
    <t>Self-Reflection</t>
  </si>
  <si>
    <t>Meta-Cog × Memory</t>
  </si>
  <si>
    <t>Self-awareness depth</t>
  </si>
  <si>
    <t>Middle Adult</t>
  </si>
  <si>
    <t>Wisdom Emergence</t>
  </si>
  <si>
    <t>Decision Quality</t>
  </si>
  <si>
    <t>Exec + Impulse + Reason</t>
  </si>
  <si>
    <t>Choice optimization</t>
  </si>
  <si>
    <t>Meta-Cognitive Peak</t>
  </si>
  <si>
    <t>Life Integration</t>
  </si>
  <si>
    <t>All Factors Combined</t>
  </si>
  <si>
    <t>Overall life synthesis</t>
  </si>
  <si>
    <t>Senior</t>
  </si>
  <si>
    <t>Accumulated Wisdom</t>
  </si>
  <si>
    <t>Legacy Phase</t>
  </si>
  <si>
    <t>Elder</t>
  </si>
  <si>
    <t>Elder Wisdom</t>
  </si>
  <si>
    <t>📊 SUMMARY</t>
  </si>
  <si>
    <t>Adolescent Development</t>
  </si>
  <si>
    <t>Transition Base</t>
  </si>
  <si>
    <t>Previous phase</t>
  </si>
  <si>
    <t>Foundation</t>
  </si>
  <si>
    <t>Cognitive roots</t>
  </si>
  <si>
    <t>Input processing</t>
  </si>
  <si>
    <t>Physical Base</t>
  </si>
  <si>
    <t>Body reference</t>
  </si>
  <si>
    <t>Systems Mature</t>
  </si>
  <si>
    <t>🌍 A7DO WORLD MATRIX SYSTEM — ENVIRONMENTAL SIMULATION</t>
  </si>
  <si>
    <t>🧭 GLOBAL ORIGIN (POINT 0)</t>
  </si>
  <si>
    <t>📐 COORDINATE AXES</t>
  </si>
  <si>
    <t>Range</t>
  </si>
  <si>
    <t>X₀ (Longitude)</t>
  </si>
  <si>
    <t>degrees</t>
  </si>
  <si>
    <t>East-West axis origin</t>
  </si>
  <si>
    <t>X</t>
  </si>
  <si>
    <t>East →</t>
  </si>
  <si>
    <t>← West</t>
  </si>
  <si>
    <t>-180° to +180°</t>
  </si>
  <si>
    <t>Y₀ (Latitude)</t>
  </si>
  <si>
    <t>North-South axis origin</t>
  </si>
  <si>
    <t>Y</t>
  </si>
  <si>
    <t>North ↑</t>
  </si>
  <si>
    <t>↓ South</t>
  </si>
  <si>
    <t>-90° to +90°</t>
  </si>
  <si>
    <t>Z₀ (Altitude)</t>
  </si>
  <si>
    <t>meters</t>
  </si>
  <si>
    <t>Vertical axis origin (sea level)</t>
  </si>
  <si>
    <t>Z</t>
  </si>
  <si>
    <t>Up (Sky) ↑</t>
  </si>
  <si>
    <t>↓ Down (Core)</t>
  </si>
  <si>
    <t>-6371km to +∞</t>
  </si>
  <si>
    <t>Reference Point</t>
  </si>
  <si>
    <t>Earth Core Centre</t>
  </si>
  <si>
    <t>Planetary mass centre</t>
  </si>
  <si>
    <t>Coordinate System</t>
  </si>
  <si>
    <t>Cartesian (X,Y,Z)</t>
  </si>
  <si>
    <t>Right-hand rule</t>
  </si>
  <si>
    <t>Scale Factor</t>
  </si>
  <si>
    <t>m/unit</t>
  </si>
  <si>
    <t>Simulation scale</t>
  </si>
  <si>
    <t>🌐 WORLD MATRIX LAYERS</t>
  </si>
  <si>
    <t>Layer</t>
  </si>
  <si>
    <t>Origin</t>
  </si>
  <si>
    <t>Physics Type</t>
  </si>
  <si>
    <t>Material</t>
  </si>
  <si>
    <t>Radius/Thickness</t>
  </si>
  <si>
    <t>Core</t>
  </si>
  <si>
    <t>None</t>
  </si>
  <si>
    <t>(0,0,0)</t>
  </si>
  <si>
    <t>World</t>
  </si>
  <si>
    <t>Anchor</t>
  </si>
  <si>
    <t>Null</t>
  </si>
  <si>
    <t>Global Origin Centre</t>
  </si>
  <si>
    <t>Earth Core</t>
  </si>
  <si>
    <t>Sphere</t>
  </si>
  <si>
    <t>Gravitational</t>
  </si>
  <si>
    <t>Iron-Nickel</t>
  </si>
  <si>
    <t>1220 km</t>
  </si>
  <si>
    <t>Inner planetary mass</t>
  </si>
  <si>
    <t>Outer Core</t>
  </si>
  <si>
    <t>Spherical Shell</t>
  </si>
  <si>
    <t>Liquid Metal</t>
  </si>
  <si>
    <t>2180 km</t>
  </si>
  <si>
    <t>Magnetic field generator</t>
  </si>
  <si>
    <t>Mantle</t>
  </si>
  <si>
    <t>Thermal Convection</t>
  </si>
  <si>
    <t>Silicate</t>
  </si>
  <si>
    <t>2900 km</t>
  </si>
  <si>
    <t>Heat transfer zone</t>
  </si>
  <si>
    <t>Crust</t>
  </si>
  <si>
    <t>Elastic Solid</t>
  </si>
  <si>
    <t>Rock</t>
  </si>
  <si>
    <t>5-70 km</t>
  </si>
  <si>
    <t>Surface foundation</t>
  </si>
  <si>
    <t>Land Mass</t>
  </si>
  <si>
    <t>Surface</t>
  </si>
  <si>
    <t>Mesh</t>
  </si>
  <si>
    <t>(x,y,z)</t>
  </si>
  <si>
    <t>Variable</t>
  </si>
  <si>
    <t>Collision Solid</t>
  </si>
  <si>
    <t>Soil/Rock</t>
  </si>
  <si>
    <t>Supports organisms</t>
  </si>
  <si>
    <t>Sea Mass</t>
  </si>
  <si>
    <t>Hydrodynamic</t>
  </si>
  <si>
    <t>Water</t>
  </si>
  <si>
    <t>Avg 3.7 km</t>
  </si>
  <si>
    <t>Fluid dynamics layer</t>
  </si>
  <si>
    <t>Troposphere</t>
  </si>
  <si>
    <t>Atmosphere</t>
  </si>
  <si>
    <t>Gas Shell</t>
  </si>
  <si>
    <t>Fluid Gas</t>
  </si>
  <si>
    <t>Air (N₂,O₂)</t>
  </si>
  <si>
    <t>0-12 km</t>
  </si>
  <si>
    <t>Weather layer</t>
  </si>
  <si>
    <t>Stratosphere</t>
  </si>
  <si>
    <t>Ozone Layer</t>
  </si>
  <si>
    <t>12-50 km</t>
  </si>
  <si>
    <t>UV protection</t>
  </si>
  <si>
    <t>Mesosphere</t>
  </si>
  <si>
    <t>Rarefied Air</t>
  </si>
  <si>
    <t>50-80 km</t>
  </si>
  <si>
    <t>Meteor burn-up zone</t>
  </si>
  <si>
    <t>Thermosphere</t>
  </si>
  <si>
    <t>Ionized Gas</t>
  </si>
  <si>
    <t>Ions</t>
  </si>
  <si>
    <t>80-700 km</t>
  </si>
  <si>
    <t>Aurora zone</t>
  </si>
  <si>
    <t>Exosphere</t>
  </si>
  <si>
    <t>Near Vacuum</t>
  </si>
  <si>
    <t>Hydrogen/Helium</t>
  </si>
  <si>
    <t>700-10000 km</t>
  </si>
  <si>
    <t>Space transition</t>
  </si>
  <si>
    <t>Magnetosphere</t>
  </si>
  <si>
    <t>Field</t>
  </si>
  <si>
    <t>Electromagnetic</t>
  </si>
  <si>
    <t>Plasma</t>
  </si>
  <si>
    <t>~65000 km</t>
  </si>
  <si>
    <t>Protective field</t>
  </si>
  <si>
    <t>Solar Input</t>
  </si>
  <si>
    <t>External</t>
  </si>
  <si>
    <t>Energy</t>
  </si>
  <si>
    <t>(∞,∞,∞)</t>
  </si>
  <si>
    <t>Radiative</t>
  </si>
  <si>
    <t>Photon</t>
  </si>
  <si>
    <t>1361 W/m²</t>
  </si>
  <si>
    <t>External energy source</t>
  </si>
  <si>
    <t>Gravity Field</t>
  </si>
  <si>
    <t>Global</t>
  </si>
  <si>
    <t>Force</t>
  </si>
  <si>
    <t>9.81 m/s²</t>
  </si>
  <si>
    <t>Acts on all mass</t>
  </si>
  <si>
    <t>⚡ PHYSICS CONSTANTS &amp; FORMULAS</t>
  </si>
  <si>
    <t>📐 PHYSICS EQUATIONS</t>
  </si>
  <si>
    <t>Constant/Formula</t>
  </si>
  <si>
    <t>Symbol</t>
  </si>
  <si>
    <t>Application</t>
  </si>
  <si>
    <t>Equation</t>
  </si>
  <si>
    <t>Gravitational Constant</t>
  </si>
  <si>
    <t>G</t>
  </si>
  <si>
    <t>m³/(kg·s²)</t>
  </si>
  <si>
    <t>Gravity calculations</t>
  </si>
  <si>
    <t>Gravity Force</t>
  </si>
  <si>
    <t>F = G × (m₁ × m₂) / r²</t>
  </si>
  <si>
    <t>Attraction between masses</t>
  </si>
  <si>
    <t>Earth Mass</t>
  </si>
  <si>
    <t>M₁</t>
  </si>
  <si>
    <t>Gravity field strength</t>
  </si>
  <si>
    <t>Weight</t>
  </si>
  <si>
    <t>W = m × g</t>
  </si>
  <si>
    <t>Force due to gravity</t>
  </si>
  <si>
    <t>Earth Radius</t>
  </si>
  <si>
    <t>R</t>
  </si>
  <si>
    <t>Surface distance</t>
  </si>
  <si>
    <t>Buoyancy</t>
  </si>
  <si>
    <t>F_b = ρ × g × V</t>
  </si>
  <si>
    <t>Upward force in fluid</t>
  </si>
  <si>
    <t>Surface Gravity</t>
  </si>
  <si>
    <t>g</t>
  </si>
  <si>
    <t>m/s²</t>
  </si>
  <si>
    <t>Weight calculations</t>
  </si>
  <si>
    <t>Pressure (Depth)</t>
  </si>
  <si>
    <t>P = P₀ + ρ × g × h</t>
  </si>
  <si>
    <t>Pressure at depth</t>
  </si>
  <si>
    <t>Atmospheric Pressure</t>
  </si>
  <si>
    <t>P₀</t>
  </si>
  <si>
    <t>Pa</t>
  </si>
  <si>
    <t>Sea level pressure</t>
  </si>
  <si>
    <t>Thermal Flux</t>
  </si>
  <si>
    <t>Q = k × ∇T</t>
  </si>
  <si>
    <t>Heat transfer rate</t>
  </si>
  <si>
    <t>Air Density</t>
  </si>
  <si>
    <t>ρ_air</t>
  </si>
  <si>
    <t>kg/m³</t>
  </si>
  <si>
    <t>Buoyancy, drag</t>
  </si>
  <si>
    <t>Kinetic Energy</t>
  </si>
  <si>
    <t>KE = ½ × m × v²</t>
  </si>
  <si>
    <t>Motion energy</t>
  </si>
  <si>
    <t>Water Density</t>
  </si>
  <si>
    <t>ρ_water</t>
  </si>
  <si>
    <t>Fluid dynamics</t>
  </si>
  <si>
    <t>Potential Energy</t>
  </si>
  <si>
    <t>PE = m × g × h</t>
  </si>
  <si>
    <t>Height energy</t>
  </si>
  <si>
    <t>Speed of Light</t>
  </si>
  <si>
    <t>c</t>
  </si>
  <si>
    <t>m/s</t>
  </si>
  <si>
    <t>Energy calculations</t>
  </si>
  <si>
    <t>Drag Force</t>
  </si>
  <si>
    <t>F_d = ½ × ρ × v² × C_d × A</t>
  </si>
  <si>
    <t>Air/fluid resistance</t>
  </si>
  <si>
    <t>Speed of Sound</t>
  </si>
  <si>
    <t>v_s</t>
  </si>
  <si>
    <t>Audio propagation</t>
  </si>
  <si>
    <t>Orbital Velocity</t>
  </si>
  <si>
    <t>v = √(G × M / r)</t>
  </si>
  <si>
    <t>Circular orbit speed</t>
  </si>
  <si>
    <t>Stefan-Boltzmann</t>
  </si>
  <si>
    <t>σ</t>
  </si>
  <si>
    <t>W/(m²·K⁴)</t>
  </si>
  <si>
    <t>Thermal radiation</t>
  </si>
  <si>
    <t>Escape Velocity</t>
  </si>
  <si>
    <t>v_e = √(2 × G × M / r)</t>
  </si>
  <si>
    <t>Escape from gravity</t>
  </si>
  <si>
    <t>Solar Constant</t>
  </si>
  <si>
    <t>S₀</t>
  </si>
  <si>
    <t>W/m²</t>
  </si>
  <si>
    <t>Energy input</t>
  </si>
  <si>
    <t>🌡️ ENVIRONMENT SIMULATION PANEL</t>
  </si>
  <si>
    <t>🧬 ORGANISM-WORLD INTERFACE</t>
  </si>
  <si>
    <t>Formula/Source</t>
  </si>
  <si>
    <t>Interaction</t>
  </si>
  <si>
    <t>Organism Input</t>
  </si>
  <si>
    <t>World Response</t>
  </si>
  <si>
    <t>Simulation Time</t>
  </si>
  <si>
    <t>ticks</t>
  </si>
  <si>
    <t>Breathing</t>
  </si>
  <si>
    <t>O₂ Demand</t>
  </si>
  <si>
    <t>Atmospheric O₂ Supply</t>
  </si>
  <si>
    <t>Simulation Week</t>
  </si>
  <si>
    <t>Thermoregulation</t>
  </si>
  <si>
    <t>Body Heat</t>
  </si>
  <si>
    <t>Ambient Temperature</t>
  </si>
  <si>
    <t>°C</t>
  </si>
  <si>
    <t>Seasonal variation</t>
  </si>
  <si>
    <t>🟢 Simulating</t>
  </si>
  <si>
    <t>Gravity Response</t>
  </si>
  <si>
    <t>Body Mass</t>
  </si>
  <si>
    <t>Weight Force</t>
  </si>
  <si>
    <t>Sea level constant</t>
  </si>
  <si>
    <t>🟢 Stable</t>
  </si>
  <si>
    <t>Pressure Sensing</t>
  </si>
  <si>
    <t>Humidity</t>
  </si>
  <si>
    <t>Light Sensing</t>
  </si>
  <si>
    <t>Solar Radiation</t>
  </si>
  <si>
    <t>Day/Night Cycle</t>
  </si>
  <si>
    <t>Tick-based cycle</t>
  </si>
  <si>
    <t>🔄 Cycling</t>
  </si>
  <si>
    <t>Sound Sensing</t>
  </si>
  <si>
    <t>Air Vibrations</t>
  </si>
  <si>
    <t>Season</t>
  </si>
  <si>
    <t>13-week quarters</t>
  </si>
  <si>
    <t>Movement</t>
  </si>
  <si>
    <t>Muscle Force</t>
  </si>
  <si>
    <t>Friction/Drag</t>
  </si>
  <si>
    <t>Day=70% surface, Night=0</t>
  </si>
  <si>
    <t>Nutrition</t>
  </si>
  <si>
    <t>Digestive System</t>
  </si>
  <si>
    <t>Food Sources</t>
  </si>
  <si>
    <t>Wind Speed</t>
  </si>
  <si>
    <t>Variable wind</t>
  </si>
  <si>
    <t>🔄 Simulating</t>
  </si>
  <si>
    <t>Gravity Active</t>
  </si>
  <si>
    <t>Surface constant</t>
  </si>
  <si>
    <t>🟢 Constant</t>
  </si>
  <si>
    <t>🏔️ PLANETARY LAYER HIERARCHY</t>
  </si>
  <si>
    <t>📊 WORLD MATRIX SUMMARY</t>
  </si>
  <si>
    <t>Distance from Centre</t>
  </si>
  <si>
    <t>Thickness</t>
  </si>
  <si>
    <t>State</t>
  </si>
  <si>
    <t>Color Code</t>
  </si>
  <si>
    <t>Total Layers</t>
  </si>
  <si>
    <t>Inner Core</t>
  </si>
  <si>
    <t>0 - 1,220 km</t>
  </si>
  <si>
    <t>1,220 km</t>
  </si>
  <si>
    <t>Solid</t>
  </si>
  <si>
    <t>🔴</t>
  </si>
  <si>
    <t>Core Layers</t>
  </si>
  <si>
    <t>O₂ exchange</t>
  </si>
  <si>
    <t>1,220 - 3,400 km</t>
  </si>
  <si>
    <t>2,180 km</t>
  </si>
  <si>
    <t>Liquid</t>
  </si>
  <si>
    <t>🟠</t>
  </si>
  <si>
    <t>Surface Layers</t>
  </si>
  <si>
    <t>Pressure response</t>
  </si>
  <si>
    <t>Lower Mantle</t>
  </si>
  <si>
    <t>3,400 - 5,700 km</t>
  </si>
  <si>
    <t>2,300 km</t>
  </si>
  <si>
    <t>Solid (Flowing)</t>
  </si>
  <si>
    <t>🟤</t>
  </si>
  <si>
    <t>Atmosphere Layers</t>
  </si>
  <si>
    <t>Environmental input</t>
  </si>
  <si>
    <t>Upper Mantle</t>
  </si>
  <si>
    <t>5,700 - 6,350 km</t>
  </si>
  <si>
    <t>650 km</t>
  </si>
  <si>
    <t>Solid (Plastic)</t>
  </si>
  <si>
    <t>🟡</t>
  </si>
  <si>
    <t>Field Layers</t>
  </si>
  <si>
    <t>Physics interactions</t>
  </si>
  <si>
    <t>6,350 - 6,371 km</t>
  </si>
  <si>
    <t>Solid (Rigid)</t>
  </si>
  <si>
    <t>🟢</t>
  </si>
  <si>
    <t>External Sources</t>
  </si>
  <si>
    <t>Nutrient sources</t>
  </si>
  <si>
    <t>6,371 - 6,383 km</t>
  </si>
  <si>
    <t>Gas</t>
  </si>
  <si>
    <t>🔵</t>
  </si>
  <si>
    <t>Physics Constants</t>
  </si>
  <si>
    <t>6,383 - 6,421 km</t>
  </si>
  <si>
    <t>Equations Defined</t>
  </si>
  <si>
    <t>6,421 - 6,451 km</t>
  </si>
  <si>
    <t>⚪</t>
  </si>
  <si>
    <t>6,451 - 7,071 km</t>
  </si>
  <si>
    <t>Ionized</t>
  </si>
  <si>
    <t>7,071 - 16,371 km</t>
  </si>
  <si>
    <t>700-10,000 km</t>
  </si>
  <si>
    <t>⚫</t>
  </si>
  <si>
    <t>~65,000 km extent</t>
  </si>
  <si>
    <t>Plasma Field</t>
  </si>
  <si>
    <t>🟣</t>
  </si>
  <si>
    <t>🌐 A7DO ENVIRONMENTAL PHYSICS MATRIX — WORLD DYNAMICS</t>
  </si>
  <si>
    <t>Input 1</t>
  </si>
  <si>
    <t>Input 2</t>
  </si>
  <si>
    <t>Input 3</t>
  </si>
  <si>
    <t>G*m1*m2/r²</t>
  </si>
  <si>
    <t>Mass1</t>
  </si>
  <si>
    <t>Mass2</t>
  </si>
  <si>
    <t>Distance</t>
  </si>
  <si>
    <t>Force (N)</t>
  </si>
  <si>
    <t>ρ*g*V</t>
  </si>
  <si>
    <t>FluidDensity</t>
  </si>
  <si>
    <t>Gravity</t>
  </si>
  <si>
    <t>DisplacedVol</t>
  </si>
  <si>
    <t>Determines floatation</t>
  </si>
  <si>
    <t>Pressure Gradient</t>
  </si>
  <si>
    <t>Atmospheric</t>
  </si>
  <si>
    <t>ΔP = -ρ*g*Δh</t>
  </si>
  <si>
    <t>AirDensity</t>
  </si>
  <si>
    <t>Height</t>
  </si>
  <si>
    <t>Pressure (Pa)</t>
  </si>
  <si>
    <t>Controls air pressure</t>
  </si>
  <si>
    <t>Thermodynamic</t>
  </si>
  <si>
    <t>k*∇T</t>
  </si>
  <si>
    <t>Conductivity</t>
  </si>
  <si>
    <t>TempGradient</t>
  </si>
  <si>
    <t>Area</t>
  </si>
  <si>
    <t>Heat (W)</t>
  </si>
  <si>
    <t>Drives convection</t>
  </si>
  <si>
    <t>Coriolis Force</t>
  </si>
  <si>
    <t>Dynamics</t>
  </si>
  <si>
    <t>2*m*v*ω*sin(φ)</t>
  </si>
  <si>
    <t>Mass</t>
  </si>
  <si>
    <t>Velocity</t>
  </si>
  <si>
    <t>Latitude</t>
  </si>
  <si>
    <t>Wind/ocean currents</t>
  </si>
  <si>
    <t>Magnetic Field</t>
  </si>
  <si>
    <t>B = μ₀*(I/2πr)</t>
  </si>
  <si>
    <t>Current</t>
  </si>
  <si>
    <t>Permeability</t>
  </si>
  <si>
    <t>Field (T)</t>
  </si>
  <si>
    <t>Radiation protection</t>
  </si>
  <si>
    <t>Radiation Flux</t>
  </si>
  <si>
    <t>I = σ*T⁴</t>
  </si>
  <si>
    <t>Emissivity</t>
  </si>
  <si>
    <t>Energy (W/m²)</t>
  </si>
  <si>
    <t>Solar heating</t>
  </si>
  <si>
    <t>Wave Motion</t>
  </si>
  <si>
    <t>Fluid Dynamics</t>
  </si>
  <si>
    <t>v = √(g*λ/2π)</t>
  </si>
  <si>
    <t>Wavelength</t>
  </si>
  <si>
    <t>Depth</t>
  </si>
  <si>
    <t>Velocity (m/s)</t>
  </si>
  <si>
    <t>Ocean waves</t>
  </si>
  <si>
    <t>Tectonic Stress</t>
  </si>
  <si>
    <t>σ = E*ε</t>
  </si>
  <si>
    <t>Modulus</t>
  </si>
  <si>
    <t>Strain</t>
  </si>
  <si>
    <t>Stress (Pa)</t>
  </si>
  <si>
    <t>Plate movement</t>
  </si>
  <si>
    <t>Atmospheric Flow</t>
  </si>
  <si>
    <t>F = -∇P + μ∇²v</t>
  </si>
  <si>
    <t>Pressure</t>
  </si>
  <si>
    <t>Viscosity</t>
  </si>
  <si>
    <t>Wind/turbulence</t>
  </si>
  <si>
    <t>📐 PHYSICS CONSTANTS</t>
  </si>
  <si>
    <t>🌡️ CURRENT SIMULATION STATE</t>
  </si>
  <si>
    <t>Constant</t>
  </si>
  <si>
    <t>DNA Engine</t>
  </si>
  <si>
    <t>M_Earth</t>
  </si>
  <si>
    <t>cycle</t>
  </si>
  <si>
    <t>Tick MOD 160</t>
  </si>
  <si>
    <t>R_Earth</t>
  </si>
  <si>
    <t>season</t>
  </si>
  <si>
    <t>Week MOD 52</t>
  </si>
  <si>
    <t>Seasonal sine wave</t>
  </si>
  <si>
    <t>Sea level standard</t>
  </si>
  <si>
    <t>Magnetic Permeability</t>
  </si>
  <si>
    <t>μ₀</t>
  </si>
  <si>
    <t>H/m</t>
  </si>
  <si>
    <t>Seasonal cosine</t>
  </si>
  <si>
    <t>Air Density (SL)</t>
  </si>
  <si>
    <t>Thermal Conductivity (Rock)</t>
  </si>
  <si>
    <t>k_rock</t>
  </si>
  <si>
    <t>W/(m·K)</t>
  </si>
  <si>
    <t>μT</t>
  </si>
  <si>
    <t>Earth average</t>
  </si>
  <si>
    <t>Angular Velocity (Earth)</t>
  </si>
  <si>
    <t>ω</t>
  </si>
  <si>
    <t>rad/s</t>
  </si>
  <si>
    <t>Variable by tick</t>
  </si>
  <si>
    <t>🔄 LAYER INTERACTION MATRIX</t>
  </si>
  <si>
    <t>Source Layer</t>
  </si>
  <si>
    <t>Target Layer</t>
  </si>
  <si>
    <t>Interaction Type</t>
  </si>
  <si>
    <t>Energy Flow</t>
  </si>
  <si>
    <t>Magnitude</t>
  </si>
  <si>
    <t>Heat</t>
  </si>
  <si>
    <t>Outward</t>
  </si>
  <si>
    <t>High</t>
  </si>
  <si>
    <t>Mechanical</t>
  </si>
  <si>
    <t>Upward</t>
  </si>
  <si>
    <t>Medium</t>
  </si>
  <si>
    <t>Support</t>
  </si>
  <si>
    <t>Basin Formation</t>
  </si>
  <si>
    <t>Downward</t>
  </si>
  <si>
    <t>Evaporation</t>
  </si>
  <si>
    <t>Thermal</t>
  </si>
  <si>
    <t>🔄 Dynamic</t>
  </si>
  <si>
    <t>Precipitation</t>
  </si>
  <si>
    <t>Radiation</t>
  </si>
  <si>
    <t>Inward</t>
  </si>
  <si>
    <t>Shielding</t>
  </si>
  <si>
    <t>Deflection</t>
  </si>
  <si>
    <t>🟢 Protective</t>
  </si>
  <si>
    <t>All Layers</t>
  </si>
  <si>
    <t>Attraction</t>
  </si>
  <si>
    <t>Centripetal</t>
  </si>
  <si>
    <t>🟢 Universal</t>
  </si>
  <si>
    <t>Organism Layer</t>
  </si>
  <si>
    <t>Gas Exchange</t>
  </si>
  <si>
    <t>Chemical</t>
  </si>
  <si>
    <t>Vital</t>
  </si>
  <si>
    <t>🟢 Essential</t>
  </si>
  <si>
    <t>🧬 ORGANISM-ENVIRONMENT INTERFACE</t>
  </si>
  <si>
    <t>Environmental Factor</t>
  </si>
  <si>
    <t>Organism Response</t>
  </si>
  <si>
    <t>System Affected</t>
  </si>
  <si>
    <t>Current Impact</t>
  </si>
  <si>
    <t>Weight/Balance</t>
  </si>
  <si>
    <t>Musculoskeletal</t>
  </si>
  <si>
    <t>🟢 Adapted</t>
  </si>
  <si>
    <t>Circulatory</t>
  </si>
  <si>
    <t>ΔT → Metabolic Rate</t>
  </si>
  <si>
    <t>🟢 Regulated</t>
  </si>
  <si>
    <t>Respiration</t>
  </si>
  <si>
    <t>Respiratory</t>
  </si>
  <si>
    <t>P → Gas Exchange</t>
  </si>
  <si>
    <t>🟢 Normal</t>
  </si>
  <si>
    <t>Oxygen Level</t>
  </si>
  <si>
    <t>Cellular Respiration</t>
  </si>
  <si>
    <t>All Systems</t>
  </si>
  <si>
    <t>O₂ → ATP</t>
  </si>
  <si>
    <t>🟢 Adequate</t>
  </si>
  <si>
    <t>Light</t>
  </si>
  <si>
    <t>Circadian Rhythm</t>
  </si>
  <si>
    <t>Light → Melatonin</t>
  </si>
  <si>
    <t>Skin/Respiratory</t>
  </si>
  <si>
    <t>Integumentary</t>
  </si>
  <si>
    <t>H → Evaporation</t>
  </si>
  <si>
    <t>🟢 Comfortable</t>
  </si>
  <si>
    <t>DNA Integrity</t>
  </si>
  <si>
    <t>Cellular</t>
  </si>
  <si>
    <t>UV → Mutation Risk</t>
  </si>
  <si>
    <t>Shielded</t>
  </si>
  <si>
    <t>🟢 Protected</t>
  </si>
  <si>
    <t>Sound</t>
  </si>
  <si>
    <t>Hearing/Alertness</t>
  </si>
  <si>
    <t>dB → Neural Signal</t>
  </si>
  <si>
    <t>Ambient</t>
  </si>
  <si>
    <t>Navigation</t>
  </si>
  <si>
    <t>B → Orientation</t>
  </si>
  <si>
    <t>🟢 Detectable</t>
  </si>
  <si>
    <t>Wind</t>
  </si>
  <si>
    <t>Heat Loss/Balance</t>
  </si>
  <si>
    <t>v → Convective Loss</t>
  </si>
  <si>
    <t>🟢 Compensated</t>
  </si>
  <si>
    <t>🧬 A7DO SEX RANDOM MATH MATRIX — GENETIC VARIABILITY &amp; HORMONAL DIFFERENTIATION</t>
  </si>
  <si>
    <t>⚙️ GENETIC SEED CONTROL</t>
  </si>
  <si>
    <t>🧪 HORMONE LEVELS</t>
  </si>
  <si>
    <t>Hormone</t>
  </si>
  <si>
    <t>Level</t>
  </si>
  <si>
    <t>Normal Range</t>
  </si>
  <si>
    <t>Random Seed</t>
  </si>
  <si>
    <t>Recalculates on F9 or edit</t>
  </si>
  <si>
    <t>Estrogen</t>
  </si>
  <si>
    <t>XX: 0.7-0.9, XY: 0.1-0.3</t>
  </si>
  <si>
    <t>Sex-dependent + noise</t>
  </si>
  <si>
    <t>Sex Threshold</t>
  </si>
  <si>
    <t>Fixed at 0.5</t>
  </si>
  <si>
    <t>50/50 probability</t>
  </si>
  <si>
    <t>Testosterone</t>
  </si>
  <si>
    <t>XY: 0.7-0.9, XX: 0.1-0.3</t>
  </si>
  <si>
    <t>Chromosome Pair</t>
  </si>
  <si>
    <t>XX = Female, XY = Male</t>
  </si>
  <si>
    <t>Progesterone</t>
  </si>
  <si>
    <t>XX: 0.5-0.7, XY: 0.2-0.4</t>
  </si>
  <si>
    <t>Reproductive readiness</t>
  </si>
  <si>
    <t>Sex Code</t>
  </si>
  <si>
    <t>0=XX, 1=XY</t>
  </si>
  <si>
    <t>FSH</t>
  </si>
  <si>
    <t>0.3-0.7</t>
  </si>
  <si>
    <t>Gonadal development</t>
  </si>
  <si>
    <t>Biological Sex</t>
  </si>
  <si>
    <t>Display format</t>
  </si>
  <si>
    <t>Visual indicator</t>
  </si>
  <si>
    <t>LH</t>
  </si>
  <si>
    <t>Reproductive maturation</t>
  </si>
  <si>
    <t>Growth Hormone</t>
  </si>
  <si>
    <t>0.6-0.9</t>
  </si>
  <si>
    <t>Physical development</t>
  </si>
  <si>
    <t>Environmental Noise</t>
  </si>
  <si>
    <t>Small random variation</t>
  </si>
  <si>
    <t>Insulin</t>
  </si>
  <si>
    <t>0.4-0.6</t>
  </si>
  <si>
    <t>Metabolic regulation</t>
  </si>
  <si>
    <t>Hormone Base (α)</t>
  </si>
  <si>
    <t>Configurable</t>
  </si>
  <si>
    <t>Base hormone level</t>
  </si>
  <si>
    <t>Thyroid (T3/T4)</t>
  </si>
  <si>
    <t>0.5-0.7</t>
  </si>
  <si>
    <t>Metabolic rate</t>
  </si>
  <si>
    <t>Environment Factor (β)</t>
  </si>
  <si>
    <t>Environmental influence</t>
  </si>
  <si>
    <t>Cortisol</t>
  </si>
  <si>
    <t>0.3-0.6</t>
  </si>
  <si>
    <t>Stress response</t>
  </si>
  <si>
    <t>Trait Modifier (γ)</t>
  </si>
  <si>
    <t>Phenotype variance</t>
  </si>
  <si>
    <t>Melatonin</t>
  </si>
  <si>
    <t>0.2-0.8 (cyclic)</t>
  </si>
  <si>
    <t>Circadian rhythm</t>
  </si>
  <si>
    <t>📋 SEX DIFFERENTIATION MATRIX</t>
  </si>
  <si>
    <t>Input Variables</t>
  </si>
  <si>
    <t>Output Variables</t>
  </si>
  <si>
    <t>Chromosome Seed</t>
  </si>
  <si>
    <t>Genetic</t>
  </si>
  <si>
    <t>Sex Determination</t>
  </si>
  <si>
    <t>RandomSeed</t>
  </si>
  <si>
    <t>SexCode</t>
  </si>
  <si>
    <t>Genetics</t>
  </si>
  <si>
    <t>Generates XX or XY</t>
  </si>
  <si>
    <t>Hormonal Bias</t>
  </si>
  <si>
    <t>Primary Hormone Activation</t>
  </si>
  <si>
    <t>BaseHormone</t>
  </si>
  <si>
    <t>Sets hormonal baseline</t>
  </si>
  <si>
    <t>Gonadal Formation</t>
  </si>
  <si>
    <t>Embryonic</t>
  </si>
  <si>
    <t>Organ Differentiation</t>
  </si>
  <si>
    <t>HormonalBias</t>
  </si>
  <si>
    <t>OrganType</t>
  </si>
  <si>
    <t>Forms testes or ovaries</t>
  </si>
  <si>
    <t>Secondary Signal</t>
  </si>
  <si>
    <t>Feedback Loop</t>
  </si>
  <si>
    <t>NeuralInput</t>
  </si>
  <si>
    <t>Links hormones to neural control</t>
  </si>
  <si>
    <t>Phenotypic Expression</t>
  </si>
  <si>
    <t>Physical Trait Emergence</t>
  </si>
  <si>
    <t>SexCode+Hormones</t>
  </si>
  <si>
    <t>Traits</t>
  </si>
  <si>
    <t>Determines external features</t>
  </si>
  <si>
    <t>Neural Sex Bias</t>
  </si>
  <si>
    <t>Neural Patterning</t>
  </si>
  <si>
    <t>HormoneFeedback</t>
  </si>
  <si>
    <t>NeuralBias</t>
  </si>
  <si>
    <t>Influences cognitive tendencies</t>
  </si>
  <si>
    <t>Endocrine Stability</t>
  </si>
  <si>
    <t>Hormonal Equilibrium</t>
  </si>
  <si>
    <t>AllHormones</t>
  </si>
  <si>
    <t>Homeostasis</t>
  </si>
  <si>
    <t>Stabilizes hormonal cycles</t>
  </si>
  <si>
    <t>🧬 PHENOTYPIC EXPRESSION</t>
  </si>
  <si>
    <t>Trait</t>
  </si>
  <si>
    <t>XX Expression</t>
  </si>
  <si>
    <t>XY Expression</t>
  </si>
  <si>
    <t>Current Expression</t>
  </si>
  <si>
    <t>Variance Factor</t>
  </si>
  <si>
    <t>Week Active</t>
  </si>
  <si>
    <t>Gonad Type</t>
  </si>
  <si>
    <t>Ovaries</t>
  </si>
  <si>
    <t>Testes</t>
  </si>
  <si>
    <t>Primary reproductive organs</t>
  </si>
  <si>
    <t>Internal Ducts</t>
  </si>
  <si>
    <t>Müllerian</t>
  </si>
  <si>
    <t>Wolffian</t>
  </si>
  <si>
    <t>Reproductive tract</t>
  </si>
  <si>
    <t>External Genitalia</t>
  </si>
  <si>
    <t>Female</t>
  </si>
  <si>
    <t>Male</t>
  </si>
  <si>
    <t>External differentiation</t>
  </si>
  <si>
    <t>Vocal Pitch</t>
  </si>
  <si>
    <t>Higher</t>
  </si>
  <si>
    <t>Lower</t>
  </si>
  <si>
    <t>Laryngeal development</t>
  </si>
  <si>
    <t>Body Hair Pattern</t>
  </si>
  <si>
    <t>Less dense</t>
  </si>
  <si>
    <t>More dense</t>
  </si>
  <si>
    <t>Androgen response</t>
  </si>
  <si>
    <t>Muscle Mass Potential</t>
  </si>
  <si>
    <t>Lower baseline</t>
  </si>
  <si>
    <t>Higher baseline</t>
  </si>
  <si>
    <t>Testosterone effect</t>
  </si>
  <si>
    <t>Fat Distribution</t>
  </si>
  <si>
    <t>Hips/thighs</t>
  </si>
  <si>
    <t>Estrogen/testosterone ratio</t>
  </si>
  <si>
    <t>Bone Density</t>
  </si>
  <si>
    <t>Peak earlier</t>
  </si>
  <si>
    <t>Peak later</t>
  </si>
  <si>
    <t>Growth hormone timing</t>
  </si>
  <si>
    <t>Brain Structure</t>
  </si>
  <si>
    <t>More connections</t>
  </si>
  <si>
    <t>More lateralized</t>
  </si>
  <si>
    <t>Neural organization</t>
  </si>
  <si>
    <t>Height Potential</t>
  </si>
  <si>
    <t>Shorter average</t>
  </si>
  <si>
    <t>Taller average</t>
  </si>
  <si>
    <t>Growth plate timing</t>
  </si>
  <si>
    <t>🧠 NEURAL SEX BIAS</t>
  </si>
  <si>
    <t>Neural Trait</t>
  </si>
  <si>
    <t>XX Tendency</t>
  </si>
  <si>
    <t>XY Tendency</t>
  </si>
  <si>
    <t>Current Bias</t>
  </si>
  <si>
    <t>Verbal Processing</t>
  </si>
  <si>
    <t>Stronger</t>
  </si>
  <si>
    <t>Language areas</t>
  </si>
  <si>
    <t>Spatial Processing</t>
  </si>
  <si>
    <t>Visuospatial areas</t>
  </si>
  <si>
    <t>Emotional Recognition</t>
  </si>
  <si>
    <t>Limbic integration</t>
  </si>
  <si>
    <t>Risk Assessment</t>
  </si>
  <si>
    <t>More cautious</t>
  </si>
  <si>
    <t>More risk-taking</t>
  </si>
  <si>
    <t>Prefrontal-limbic</t>
  </si>
  <si>
    <t>Multitasking</t>
  </si>
  <si>
    <t>More distributed</t>
  </si>
  <si>
    <t>More focused</t>
  </si>
  <si>
    <t>Hemispheric coordination</t>
  </si>
  <si>
    <t>Empathy Response</t>
  </si>
  <si>
    <t>Mirror neuron system</t>
  </si>
  <si>
    <t>Aggression Threshold</t>
  </si>
  <si>
    <t>Amygdala-cortex</t>
  </si>
  <si>
    <t>Theory of mind</t>
  </si>
  <si>
    <t>📊 GENETIC SUMMARY</t>
  </si>
  <si>
    <t>Data Flow</t>
  </si>
  <si>
    <t>From chromosome pair</t>
  </si>
  <si>
    <t>Primary determination</t>
  </si>
  <si>
    <t>Dominant Hormone</t>
  </si>
  <si>
    <t>Based on sex code</t>
  </si>
  <si>
    <t>Primary endocrine driver</t>
  </si>
  <si>
    <t>Gonadal coordinates</t>
  </si>
  <si>
    <t>Organ placement</t>
  </si>
  <si>
    <t>🟢 Linked</t>
  </si>
  <si>
    <t>Hormone Balance</t>
  </si>
  <si>
    <t>Dominant/Total ratio</t>
  </si>
  <si>
    <t>0.5-1.0 range</t>
  </si>
  <si>
    <t>Hormone levels</t>
  </si>
  <si>
    <t>Differentiation Stage</t>
  </si>
  <si>
    <t>Week-based stage</t>
  </si>
  <si>
    <t>Development phase</t>
  </si>
  <si>
    <t>Neural bias factors</t>
  </si>
  <si>
    <t>Cognitive patterning</t>
  </si>
  <si>
    <t>🟢 Integrated</t>
  </si>
  <si>
    <t>Traits Expressed</t>
  </si>
  <si>
    <t>Count of active traits</t>
  </si>
  <si>
    <t>Phenotype progress</t>
  </si>
  <si>
    <t>Processing tendencies</t>
  </si>
  <si>
    <t>Learning styles</t>
  </si>
  <si>
    <t>🟢 Feeding</t>
  </si>
  <si>
    <t>Neural Bias Maturity</t>
  </si>
  <si>
    <t>Average neural bias %</t>
  </si>
  <si>
    <t>Phenotype reference</t>
  </si>
  <si>
    <t>Final expression</t>
  </si>
  <si>
    <t>🟢 Target</t>
  </si>
  <si>
    <t>Overall Sex Differentiation</t>
  </si>
  <si>
    <t>Average matrix maturity</t>
  </si>
  <si>
    <t>Complete at birth</t>
  </si>
  <si>
    <t>World Matrix System</t>
  </si>
  <si>
    <t>Environmental noise</t>
  </si>
  <si>
    <t>Epigenetic factors</t>
  </si>
  <si>
    <t>🟢 Modulating</t>
  </si>
  <si>
    <t>🧬 A7DO GENETIC INHERITANCE MATRIX — HEREDITY &amp; EVOLUTION ENGINE</t>
  </si>
  <si>
    <t>⚙️ INHERITANCE CONTROL PANEL</t>
  </si>
  <si>
    <t>Source/Formula</t>
  </si>
  <si>
    <t>Generation Number</t>
  </si>
  <si>
    <t>Current generation</t>
  </si>
  <si>
    <t>Population Size</t>
  </si>
  <si>
    <t>organisms</t>
  </si>
  <si>
    <t>Simulation parameter</t>
  </si>
  <si>
    <t>Mutation Rate</t>
  </si>
  <si>
    <t>per gene</t>
  </si>
  <si>
    <t>Base mutation probability</t>
  </si>
  <si>
    <t>Crossover Rate</t>
  </si>
  <si>
    <t>Recombination probability</t>
  </si>
  <si>
    <t>Epigenetic modifier</t>
  </si>
  <si>
    <t>Random Seed (Parent A)</t>
  </si>
  <si>
    <t>RAND() for variability</t>
  </si>
  <si>
    <t>Random Seed (Parent B)</t>
  </si>
  <si>
    <t>Inheritance Mode</t>
  </si>
  <si>
    <t>Mendelian</t>
  </si>
  <si>
    <t>Dominant/Recessive/Codominant</t>
  </si>
  <si>
    <t>🧬 GENETIC INHERITANCE MATRIX</t>
  </si>
  <si>
    <t>Generation Stage</t>
  </si>
  <si>
    <t>Parent Genome A</t>
  </si>
  <si>
    <t>Base Genetic Code</t>
  </si>
  <si>
    <t>Chromosome Seed A</t>
  </si>
  <si>
    <t>Allele Set A</t>
  </si>
  <si>
    <t>Genome = f(Seed)</t>
  </si>
  <si>
    <t>Maternal DNA</t>
  </si>
  <si>
    <t>Parent Genome B</t>
  </si>
  <si>
    <t>Chromosome Seed B</t>
  </si>
  <si>
    <t>Allele Set B</t>
  </si>
  <si>
    <t>Paternal DNA</t>
  </si>
  <si>
    <t>Gamete Formation A</t>
  </si>
  <si>
    <t>Meiosis Simulation</t>
  </si>
  <si>
    <t>Gamete A</t>
  </si>
  <si>
    <t>crossover(Genome,Rand)</t>
  </si>
  <si>
    <t>Maternal gamete</t>
  </si>
  <si>
    <t>Gamete Formation B</t>
  </si>
  <si>
    <t>Gamete B</t>
  </si>
  <si>
    <t>Paternal gamete</t>
  </si>
  <si>
    <t>Fertilization</t>
  </si>
  <si>
    <t>Genome Fusion</t>
  </si>
  <si>
    <t>Gamete A + B</t>
  </si>
  <si>
    <t>Child Genome</t>
  </si>
  <si>
    <t>merge(A,B)</t>
  </si>
  <si>
    <t>DNA combination</t>
  </si>
  <si>
    <t>Mutation Event</t>
  </si>
  <si>
    <t>Random Variation</t>
  </si>
  <si>
    <t>Mutated Genome</t>
  </si>
  <si>
    <t>Child + rand(Rate)</t>
  </si>
  <si>
    <t>Stochastic variation</t>
  </si>
  <si>
    <t>Trait Inheritance</t>
  </si>
  <si>
    <t>Phenotypic</t>
  </si>
  <si>
    <t>Physical Traits</t>
  </si>
  <si>
    <t>Parent Traits</t>
  </si>
  <si>
    <t>Child Traits</t>
  </si>
  <si>
    <t>inherit(Parents)</t>
  </si>
  <si>
    <t>Visible traits</t>
  </si>
  <si>
    <t>Cognitive Inheritance</t>
  </si>
  <si>
    <t>Neural Patterns</t>
  </si>
  <si>
    <t>Parent Neural</t>
  </si>
  <si>
    <t>Child Neural</t>
  </si>
  <si>
    <t>mix(Parents,Noise)</t>
  </si>
  <si>
    <t>Cognitive tendencies</t>
  </si>
  <si>
    <t>Epigenetic Feedback</t>
  </si>
  <si>
    <t>Environment Effect</t>
  </si>
  <si>
    <t>Epigenetic Shift</t>
  </si>
  <si>
    <t>k × EnvFactor</t>
  </si>
  <si>
    <t>Gene expression</t>
  </si>
  <si>
    <t>Generational Drift</t>
  </si>
  <si>
    <t>Population</t>
  </si>
  <si>
    <t>Population Variance</t>
  </si>
  <si>
    <t>All Genomes</t>
  </si>
  <si>
    <t>Drift Index</t>
  </si>
  <si>
    <t>Σ(Mut)/PopSize</t>
  </si>
  <si>
    <t>Long-term evolution</t>
  </si>
  <si>
    <t>👨‍👩‍👧 PARENT GENOME SIMULATOR</t>
  </si>
  <si>
    <t>🔵 PARENT A (Maternal)</t>
  </si>
  <si>
    <t>🔴 PARENT B (Paternal)</t>
  </si>
  <si>
    <t>Allele 1</t>
  </si>
  <si>
    <t>Allele 2</t>
  </si>
  <si>
    <t>Genotype</t>
  </si>
  <si>
    <t>Dominance</t>
  </si>
  <si>
    <t>Eye Color</t>
  </si>
  <si>
    <t>Hair Color</t>
  </si>
  <si>
    <t>Skin Tone</t>
  </si>
  <si>
    <t>Blood Type</t>
  </si>
  <si>
    <t>Metabolic Rate</t>
  </si>
  <si>
    <t>Muscle Density</t>
  </si>
  <si>
    <t>Bone Structure</t>
  </si>
  <si>
    <t>Neural Speed</t>
  </si>
  <si>
    <t>Immune Strength</t>
  </si>
  <si>
    <t>👶 CHILD GENOME OUTPUT (Offspring)</t>
  </si>
  <si>
    <t>Inherited A</t>
  </si>
  <si>
    <t>Inherited B</t>
  </si>
  <si>
    <t>Child Genotype</t>
  </si>
  <si>
    <t>Mutation?</t>
  </si>
  <si>
    <t>Final Genotype</t>
  </si>
  <si>
    <t>Phenotype</t>
  </si>
  <si>
    <t>Inheritance Pattern</t>
  </si>
  <si>
    <t>📊 QUANTITATIVE TRAIT VALUES</t>
  </si>
  <si>
    <t>Parent A Value</t>
  </si>
  <si>
    <t>Parent B Value</t>
  </si>
  <si>
    <t>Midpoint</t>
  </si>
  <si>
    <t>Mutation Shift</t>
  </si>
  <si>
    <t>Final Value</t>
  </si>
  <si>
    <t>Percentile</t>
  </si>
  <si>
    <t>Height (cm)</t>
  </si>
  <si>
    <t>Weight Potential (kg)</t>
  </si>
  <si>
    <t>IQ Baseline</t>
  </si>
  <si>
    <t>Lifespan Potential (years)</t>
  </si>
  <si>
    <t>Metabolism Index</t>
  </si>
  <si>
    <t>Immune Strength Index</t>
  </si>
  <si>
    <t>Neural Processing Speed</t>
  </si>
  <si>
    <t>Muscle Growth Rate</t>
  </si>
  <si>
    <t>🌿 EPIGENETIC MODIFIERS</t>
  </si>
  <si>
    <t>🔗 SEX CHROMOSOME LINK</t>
  </si>
  <si>
    <t>Factor</t>
  </si>
  <si>
    <t>Environment Value</t>
  </si>
  <si>
    <t>Impact Weight</t>
  </si>
  <si>
    <t>Gene Expression Shift</t>
  </si>
  <si>
    <t>Effect Direction</t>
  </si>
  <si>
    <t>Nutrition Quality</t>
  </si>
  <si>
    <t>Sex Chromosome</t>
  </si>
  <si>
    <t>Sex Random Math!B5</t>
  </si>
  <si>
    <t>Stress Level</t>
  </si>
  <si>
    <t>Derived</t>
  </si>
  <si>
    <t>Toxin Exposure</t>
  </si>
  <si>
    <t>Sex-Linked Traits</t>
  </si>
  <si>
    <t>Genetic rule</t>
  </si>
  <si>
    <t>Temperature Variation</t>
  </si>
  <si>
    <t>Social Environment</t>
  </si>
  <si>
    <t>Physical Activity</t>
  </si>
  <si>
    <t>Total Epigenetic Shift:</t>
  </si>
  <si>
    <t>Epigenetic Status:</t>
  </si>
  <si>
    <t>🌍 POPULATION GENETICS &amp; DRIFT</t>
  </si>
  <si>
    <t>Interpretation</t>
  </si>
  <si>
    <t>Trend</t>
  </si>
  <si>
    <t>Allele Frequency (D)</t>
  </si>
  <si>
    <t>Count(D)/Total Alleles</t>
  </si>
  <si>
    <t>Allele Frequency (d)</t>
  </si>
  <si>
    <t>1 - Freq(D)</t>
  </si>
  <si>
    <t>Hardy-Weinberg p²</t>
  </si>
  <si>
    <t>p² (DD frequency)</t>
  </si>
  <si>
    <t>Expected homozygous dominant</t>
  </si>
  <si>
    <t>-</t>
  </si>
  <si>
    <t>Hardy-Weinberg 2pq</t>
  </si>
  <si>
    <t>2pq (Dd frequency)</t>
  </si>
  <si>
    <t>Expected heterozygous</t>
  </si>
  <si>
    <t>Hardy-Weinberg q²</t>
  </si>
  <si>
    <t>q² (dd frequency)</t>
  </si>
  <si>
    <t>Expected homozygous recessive</t>
  </si>
  <si>
    <t>Genetic Drift Index</t>
  </si>
  <si>
    <t>MutationRate/PopSize</t>
  </si>
  <si>
    <t>Heterozygosity Index</t>
  </si>
  <si>
    <t>Heterozygous/Total</t>
  </si>
  <si>
    <t>📋 INHERITANCE SUMMARY</t>
  </si>
  <si>
    <t>Connected Sheet</t>
  </si>
  <si>
    <t>Data Link</t>
  </si>
  <si>
    <t>Dominant Traits Expressed</t>
  </si>
  <si>
    <t>Recessive Traits Expressed</t>
  </si>
  <si>
    <t>Sex Random Math</t>
  </si>
  <si>
    <t>Mutations Occurred</t>
  </si>
  <si>
    <t>Homozygous Dominant</t>
  </si>
  <si>
    <t>Trait Expression</t>
  </si>
  <si>
    <t>Homozygous Recessive</t>
  </si>
  <si>
    <t>Adult Cognition</t>
  </si>
  <si>
    <t>Neural Inheritance</t>
  </si>
  <si>
    <t>Heterozygous</t>
  </si>
  <si>
    <t>Environmental Physics</t>
  </si>
  <si>
    <t>Epigenetic Input</t>
  </si>
  <si>
    <t>Genetic Diversity Score</t>
  </si>
  <si>
    <t>🔄 GENERATIONAL EVOLUTION TRACKER</t>
  </si>
  <si>
    <t>Generation</t>
  </si>
  <si>
    <t>Avg Heterozygosity</t>
  </si>
  <si>
    <t>Mutations/Gen</t>
  </si>
  <si>
    <t>Dominant Freq</t>
  </si>
  <si>
    <t>Recessive Freq</t>
  </si>
  <si>
    <t>Fitness Index</t>
  </si>
  <si>
    <t>Gen 1</t>
  </si>
  <si>
    <t>Gen 2</t>
  </si>
  <si>
    <t>Gen 3</t>
  </si>
  <si>
    <t>Gen 4</t>
  </si>
  <si>
    <t>Gen 5</t>
  </si>
  <si>
    <t>📐 PUNNETT SQUARE (First Trait)</t>
  </si>
  <si>
    <t xml:space="preserve">Parent B: </t>
  </si>
  <si>
    <t>Parent A:</t>
  </si>
  <si>
    <t>Probability:</t>
  </si>
  <si>
    <t>🌍 A7DO WORLD INVENTORY MATRIX</t>
  </si>
  <si>
    <t>Position X</t>
  </si>
  <si>
    <t>Position Y</t>
  </si>
  <si>
    <t>Position Z</t>
  </si>
  <si>
    <t>Occupied</t>
  </si>
  <si>
    <t>Displacement Rule</t>
  </si>
  <si>
    <t>Compaction Rule</t>
  </si>
  <si>
    <t>Physics Domain</t>
  </si>
  <si>
    <t>Ground</t>
  </si>
  <si>
    <t>Environment</t>
  </si>
  <si>
    <t>Soil</t>
  </si>
  <si>
    <t>Base terrain layer</t>
  </si>
  <si>
    <t>Grass</t>
  </si>
  <si>
    <t>Flora</t>
  </si>
  <si>
    <t>Displace</t>
  </si>
  <si>
    <t>Compact</t>
  </si>
  <si>
    <t>Organic</t>
  </si>
  <si>
    <t>Compresses under pressure</t>
  </si>
  <si>
    <t>Tree</t>
  </si>
  <si>
    <t>Wood</t>
  </si>
  <si>
    <t>Vertical space occupant</t>
  </si>
  <si>
    <t>Mineral</t>
  </si>
  <si>
    <t>Stone</t>
  </si>
  <si>
    <t>Fixed obstacle</t>
  </si>
  <si>
    <t>Animal</t>
  </si>
  <si>
    <t>Organism</t>
  </si>
  <si>
    <t>Fauna</t>
  </si>
  <si>
    <t>Biological</t>
  </si>
  <si>
    <t>Dynamic Mass</t>
  </si>
  <si>
    <t>Moves and interacts</t>
  </si>
  <si>
    <t>A7DO</t>
  </si>
  <si>
    <t>Artificial</t>
  </si>
  <si>
    <t>Synthetic</t>
  </si>
  <si>
    <t>Primary organism instance</t>
  </si>
  <si>
    <t>Building</t>
  </si>
  <si>
    <t>Structure</t>
  </si>
  <si>
    <t>Construct</t>
  </si>
  <si>
    <t>Concrete</t>
  </si>
  <si>
    <t>Fixed structure</t>
  </si>
  <si>
    <t>Door</t>
  </si>
  <si>
    <t>Component</t>
  </si>
  <si>
    <t>Wood/Metal</t>
  </si>
  <si>
    <t>Entry control point</t>
  </si>
  <si>
    <t>Wall</t>
  </si>
  <si>
    <t>Blocks movement</t>
  </si>
  <si>
    <t>Floor</t>
  </si>
  <si>
    <t>Supports objects</t>
  </si>
  <si>
    <t>Sky</t>
  </si>
  <si>
    <t>Air</t>
  </si>
  <si>
    <t>Open space for weather</t>
  </si>
  <si>
    <t>Vehicle</t>
  </si>
  <si>
    <t>Object</t>
  </si>
  <si>
    <t>Machine</t>
  </si>
  <si>
    <t>Metal</t>
  </si>
  <si>
    <t>Mobile object</t>
  </si>
  <si>
    <t>Buoyancy and flow</t>
  </si>
  <si>
    <t>⚙️ SPATIAL LOGIC &amp; PHYSICS RULES</t>
  </si>
  <si>
    <t>Rule Name</t>
  </si>
  <si>
    <t>Condition</t>
  </si>
  <si>
    <t>Effect</t>
  </si>
  <si>
    <t>Example</t>
  </si>
  <si>
    <t>🧭 COORDINATE SYSTEM</t>
  </si>
  <si>
    <t>Occupancy Rule</t>
  </si>
  <si>
    <t>Overlap(x,y,z)=True</t>
  </si>
  <si>
    <t>Max 1 primary object per cell</t>
  </si>
  <si>
    <t>Blocks overlap</t>
  </si>
  <si>
    <t>Wall blocks A7DO</t>
  </si>
  <si>
    <t>Contact with soft surface</t>
  </si>
  <si>
    <t>NewPos = OldPos + Δz×(1-Compact)</t>
  </si>
  <si>
    <t>Object moves aside</t>
  </si>
  <si>
    <t>Foot pushes grass</t>
  </si>
  <si>
    <t>Longitude (East-West)</t>
  </si>
  <si>
    <t>Pressure &gt; Threshold</t>
  </si>
  <si>
    <t>ρₜ₊₁ = ρₜ + α×Pressure</t>
  </si>
  <si>
    <t>Material compresses</t>
  </si>
  <si>
    <t>Soil under weight</t>
  </si>
  <si>
    <t>Latitude (North-South)</t>
  </si>
  <si>
    <t>Buoyancy Rule</t>
  </si>
  <si>
    <t>Entity in Fluid</t>
  </si>
  <si>
    <t>F = ρ×g×V</t>
  </si>
  <si>
    <t>Object floats/sinks</t>
  </si>
  <si>
    <t>A7DO in water</t>
  </si>
  <si>
    <t>Altitude (Up-Down)</t>
  </si>
  <si>
    <t>Collision Rule</t>
  </si>
  <si>
    <t>Hard surface contact</t>
  </si>
  <si>
    <t>F = -∇P (Repulsion)</t>
  </si>
  <si>
    <t>Prevents penetration</t>
  </si>
  <si>
    <t>Wall collision</t>
  </si>
  <si>
    <t>World Centre (0,0,0)</t>
  </si>
  <si>
    <t>reference</t>
  </si>
  <si>
    <t>📊 WORLD INVENTORY DASHBOARD</t>
  </si>
  <si>
    <t>📦 ENTITY COUNTS</t>
  </si>
  <si>
    <t>🔗 CATEGORY BREAKDOWN</t>
  </si>
  <si>
    <t>Total Entities:</t>
  </si>
  <si>
    <t>Environment:</t>
  </si>
  <si>
    <t>Occupied Cells:</t>
  </si>
  <si>
    <t>Organisms:</t>
  </si>
  <si>
    <t>Free Cells:</t>
  </si>
  <si>
    <t>Structures:</t>
  </si>
  <si>
    <t>Dynamic Objects:</t>
  </si>
  <si>
    <t>Objects:</t>
  </si>
  <si>
    <t>Static Objects:</t>
  </si>
  <si>
    <t>🌐 A7DO POSITION</t>
  </si>
  <si>
    <t>📍 POSITION BOUNDS</t>
  </si>
  <si>
    <t>X Coordinate:</t>
  </si>
  <si>
    <t>Min X:</t>
  </si>
  <si>
    <t>Y Coordinate:</t>
  </si>
  <si>
    <t>Max X:</t>
  </si>
  <si>
    <t>Z Coordinate:</t>
  </si>
  <si>
    <t>Min Y:</t>
  </si>
  <si>
    <t>Current Layer:</t>
  </si>
  <si>
    <t>Max Y:</t>
  </si>
  <si>
    <t>Interaction Range:</t>
  </si>
  <si>
    <t>5 meters</t>
  </si>
  <si>
    <t>Min Z:</t>
  </si>
  <si>
    <t>Max Z:</t>
  </si>
  <si>
    <t>🔗 CROSS-SYSTEM INTEGRATION</t>
  </si>
  <si>
    <t>Connected Component</t>
  </si>
  <si>
    <t>📈 INVENTORY SUMMARY</t>
  </si>
  <si>
    <t>Coordinate Reference</t>
  </si>
  <si>
    <t>→ Input</t>
  </si>
  <si>
    <t>Point 0 Origin</t>
  </si>
  <si>
    <t>Spatial anchor</t>
  </si>
  <si>
    <t>Gravity, Buoyancy</t>
  </si>
  <si>
    <t>Force calculations</t>
  </si>
  <si>
    <t>Total World Objects:</t>
  </si>
  <si>
    <t>World Interaction</t>
  </si>
  <si>
    <t>Collision Detection</t>
  </si>
  <si>
    <t>↔ Bidirectional</t>
  </si>
  <si>
    <t>Entity Contacts</t>
  </si>
  <si>
    <t>Interaction triggers</t>
  </si>
  <si>
    <t>Environment Objects:</t>
  </si>
  <si>
    <t>Ecosystem Feedback</t>
  </si>
  <si>
    <t>Population Density</t>
  </si>
  <si>
    <t>← Output</t>
  </si>
  <si>
    <t>Organism Count</t>
  </si>
  <si>
    <t>Crowding effects</t>
  </si>
  <si>
    <t>Living Organisms:</t>
  </si>
  <si>
    <t>Man-made Structures:</t>
  </si>
  <si>
    <t>A7DO Position</t>
  </si>
  <si>
    <t>Body Coordinates</t>
  </si>
  <si>
    <t>Embodiment anchor</t>
  </si>
  <si>
    <t>World Status:</t>
  </si>
  <si>
    <t>🌐 A7DO WORLD INTERACTION MATRIX</t>
  </si>
  <si>
    <t>Entity A</t>
  </si>
  <si>
    <t>Entity B</t>
  </si>
  <si>
    <t>Response Type</t>
  </si>
  <si>
    <t>Active</t>
  </si>
  <si>
    <t>Physical</t>
  </si>
  <si>
    <t>Object A</t>
  </si>
  <si>
    <t>Object B</t>
  </si>
  <si>
    <t>Repulsion</t>
  </si>
  <si>
    <t>F = -∇P</t>
  </si>
  <si>
    <t>✅</t>
  </si>
  <si>
    <t>Prevents spatial overlap</t>
  </si>
  <si>
    <t>Displacement</t>
  </si>
  <si>
    <t>Dynamic Entity</t>
  </si>
  <si>
    <t>Soft Surface</t>
  </si>
  <si>
    <t>Contact=True</t>
  </si>
  <si>
    <t>Translation</t>
  </si>
  <si>
    <t>Δz = Pressure/Elasticity</t>
  </si>
  <si>
    <t>Grass compresses under foot</t>
  </si>
  <si>
    <t>Compaction</t>
  </si>
  <si>
    <t>Soft Material</t>
  </si>
  <si>
    <t>Load Entity</t>
  </si>
  <si>
    <t>Pressure&gt;Threshold</t>
  </si>
  <si>
    <t>Density Increase</t>
  </si>
  <si>
    <t>ρₜ₊₁ = ρₜ + α·Pressure</t>
  </si>
  <si>
    <t>Soil compacts under weight</t>
  </si>
  <si>
    <t>Fluid Displacement</t>
  </si>
  <si>
    <t>Entity</t>
  </si>
  <si>
    <t>Immersion=True</t>
  </si>
  <si>
    <t>F = ρ·g·V</t>
  </si>
  <si>
    <t>Water displaces around body</t>
  </si>
  <si>
    <t>Thermal Exchange</t>
  </si>
  <si>
    <t>ΔT≠0</t>
  </si>
  <si>
    <t>Heat Transfer</t>
  </si>
  <si>
    <t>Q = k·∇T</t>
  </si>
  <si>
    <t>Equalizes temperature</t>
  </si>
  <si>
    <t>Sound Propagation</t>
  </si>
  <si>
    <t>Acoustic</t>
  </si>
  <si>
    <t>Emitter</t>
  </si>
  <si>
    <t>Receiver</t>
  </si>
  <si>
    <t>Distance&lt;Range</t>
  </si>
  <si>
    <t>Wave Transmission</t>
  </si>
  <si>
    <t>I = I₀·e^(-αr)</t>
  </si>
  <si>
    <t>Enables auditory feedback</t>
  </si>
  <si>
    <t>Light Reflection</t>
  </si>
  <si>
    <t>Optical</t>
  </si>
  <si>
    <t>Observer</t>
  </si>
  <si>
    <t>Angle&lt;90°</t>
  </si>
  <si>
    <t>Visual Feedback</t>
  </si>
  <si>
    <t>I = R·I₀·cos(θ)</t>
  </si>
  <si>
    <t>Generates visual perception</t>
  </si>
  <si>
    <t>Force Transfer</t>
  </si>
  <si>
    <t>Impulse</t>
  </si>
  <si>
    <t>F = m·Δv/Δt</t>
  </si>
  <si>
    <t>Handles impact and movement</t>
  </si>
  <si>
    <t>Stimulus=True</t>
  </si>
  <si>
    <t>Neural Signal</t>
  </si>
  <si>
    <t>S = Σ(Input·Weight)</t>
  </si>
  <si>
    <t>Triggers perception</t>
  </si>
  <si>
    <t>Environmental Response</t>
  </si>
  <si>
    <t>Dynamic</t>
  </si>
  <si>
    <t>Interaction=True</t>
  </si>
  <si>
    <t>Adaptive Change</t>
  </si>
  <si>
    <t>ΔState = f(Feedback)</t>
  </si>
  <si>
    <t>World reacts to organism</t>
  </si>
  <si>
    <t>⚙️ INTERACTION SIMULATION PANEL</t>
  </si>
  <si>
    <t>👁️ SENSORY FEEDBACK INTEGRATION</t>
  </si>
  <si>
    <t>Input Signal</t>
  </si>
  <si>
    <t>Output Signal</t>
  </si>
  <si>
    <t>Simulation Active:</t>
  </si>
  <si>
    <t>✅ YES</t>
  </si>
  <si>
    <t>🌡️ THERMAL INTERACTION</t>
  </si>
  <si>
    <t>Ambient Temperature:</t>
  </si>
  <si>
    <t>Entity Temperature:</t>
  </si>
  <si>
    <t>Temperature Delta:</t>
  </si>
  <si>
    <t>Heat Transfer Rate:</t>
  </si>
  <si>
    <t>W</t>
  </si>
  <si>
    <t>Total Signal:</t>
  </si>
  <si>
    <t>Thermal Status:</t>
  </si>
  <si>
    <t>Perception Index:</t>
  </si>
  <si>
    <t>Perception Status:</t>
  </si>
  <si>
    <t>💨 PHYSICAL INTERACTION</t>
  </si>
  <si>
    <t>Surface Elasticity:</t>
  </si>
  <si>
    <t>Applied Pressure:</t>
  </si>
  <si>
    <t>Displacement:</t>
  </si>
  <si>
    <t>Compaction Factor:</t>
  </si>
  <si>
    <t>💧 FLUID INTERACTION</t>
  </si>
  <si>
    <t>Fluid Density:</t>
  </si>
  <si>
    <t>Displaced Volume:</t>
  </si>
  <si>
    <t>m³</t>
  </si>
  <si>
    <t>Buoyancy Force:</t>
  </si>
  <si>
    <t>N</t>
  </si>
  <si>
    <t>Net Force:</t>
  </si>
  <si>
    <t>Fluid Status:</t>
  </si>
  <si>
    <t>🔗 WORLD INTERACTION SUMMARY</t>
  </si>
  <si>
    <t>Total Interactions:</t>
  </si>
  <si>
    <t>Overall System Status:</t>
  </si>
  <si>
    <t>Physical:</t>
  </si>
  <si>
    <t>Connected</t>
  </si>
  <si>
    <t>Sensory:</t>
  </si>
  <si>
    <t>Signal Input</t>
  </si>
  <si>
    <t>Environmental:</t>
  </si>
  <si>
    <t>Coordinates</t>
  </si>
  <si>
    <t>🌿 A7DO ECOSYSTEM FEEDBACK MATRIX</t>
  </si>
  <si>
    <t>Feedback Type</t>
  </si>
  <si>
    <t>Input Variable</t>
  </si>
  <si>
    <t>Output Variable</t>
  </si>
  <si>
    <t>Coefficient</t>
  </si>
  <si>
    <t>Temperature Response</t>
  </si>
  <si>
    <t>Ambient Temp</t>
  </si>
  <si>
    <t>R = R₀ + β(T-T₀)</t>
  </si>
  <si>
    <t>Adjusts metabolism</t>
  </si>
  <si>
    <t>Pressure Response</t>
  </si>
  <si>
    <t>Atm Pressure</t>
  </si>
  <si>
    <t>Respiration Rate</t>
  </si>
  <si>
    <t>R = R₀ + γ(P-P₀)</t>
  </si>
  <si>
    <t>Breathing adaptation</t>
  </si>
  <si>
    <t>Altitude adjust</t>
  </si>
  <si>
    <t>Resource Availability</t>
  </si>
  <si>
    <t>Ecological</t>
  </si>
  <si>
    <t>Food Density</t>
  </si>
  <si>
    <t>Energy Level</t>
  </si>
  <si>
    <t>E = E₀ + δ×Food</t>
  </si>
  <si>
    <t>Growth driver</t>
  </si>
  <si>
    <t>Nutrition link</t>
  </si>
  <si>
    <t>Behaviour</t>
  </si>
  <si>
    <t>B = B₀ + η(D-Opt)</t>
  </si>
  <si>
    <t>Social modulation</t>
  </si>
  <si>
    <t>Crowding effect</t>
  </si>
  <si>
    <t>Predation Pressure</t>
  </si>
  <si>
    <t>Predator Count</t>
  </si>
  <si>
    <t>S = S₀ + λ×Pred</t>
  </si>
  <si>
    <t>Survival trigger</t>
  </si>
  <si>
    <t>Defense mode</t>
  </si>
  <si>
    <t>Hydration Cycle</t>
  </si>
  <si>
    <t>Fluid Balance</t>
  </si>
  <si>
    <t>F = F₀ + μ(H-B)</t>
  </si>
  <si>
    <t>Water regulation</t>
  </si>
  <si>
    <t>Dehydration prev</t>
  </si>
  <si>
    <t>Light Cycle</t>
  </si>
  <si>
    <t>Day/Night</t>
  </si>
  <si>
    <t>Circadian</t>
  </si>
  <si>
    <t>C = C₀ + ω(L-B)</t>
  </si>
  <si>
    <t>Sleep control</t>
  </si>
  <si>
    <t>Bio clock sync</t>
  </si>
  <si>
    <t>Magnetic Flux</t>
  </si>
  <si>
    <t>Field Strength</t>
  </si>
  <si>
    <t>Orientation</t>
  </si>
  <si>
    <t>O = O₀ + ψ(M-B)</t>
  </si>
  <si>
    <t>Navigation aid</t>
  </si>
  <si>
    <t>Compass sense</t>
  </si>
  <si>
    <t>Chemical Balance</t>
  </si>
  <si>
    <t>Pollutant Level</t>
  </si>
  <si>
    <t>Health Index</t>
  </si>
  <si>
    <t>H = H₀ - χ×Poll</t>
  </si>
  <si>
    <t>Toxicity response</t>
  </si>
  <si>
    <t>Env stress</t>
  </si>
  <si>
    <t>Evolutionary Pressure</t>
  </si>
  <si>
    <t>Adaptation</t>
  </si>
  <si>
    <t>A = A₀ + ζ×Mut</t>
  </si>
  <si>
    <t>Species evolution</t>
  </si>
  <si>
    <t>Long-term change</t>
  </si>
  <si>
    <t>🌍 ECOSYSTEM SIMULATION DASHBOARD</t>
  </si>
  <si>
    <t>Response</t>
  </si>
  <si>
    <t>Base Value</t>
  </si>
  <si>
    <t>Change %</t>
  </si>
  <si>
    <t>Metabolic Rate:</t>
  </si>
  <si>
    <t>Respiration Rate:</t>
  </si>
  <si>
    <t>Energy Level:</t>
  </si>
  <si>
    <t>🌡️ ENVIRONMENTAL INPUTS</t>
  </si>
  <si>
    <t>Stress Level:</t>
  </si>
  <si>
    <t>Fluid Balance:</t>
  </si>
  <si>
    <t>Atmospheric Pressure:</t>
  </si>
  <si>
    <t>Circadian Rhythm:</t>
  </si>
  <si>
    <t>Humidity:</t>
  </si>
  <si>
    <t>Behaviour Index:</t>
  </si>
  <si>
    <t>Light Intensity:</t>
  </si>
  <si>
    <t>Health Index:</t>
  </si>
  <si>
    <t>Magnetic Field:</t>
  </si>
  <si>
    <t>🟢 Earth Normal</t>
  </si>
  <si>
    <t>Adaptation Index:</t>
  </si>
  <si>
    <t>🧬 BIOLOGICAL INPUTS</t>
  </si>
  <si>
    <t>📊 ECOSYSTEM EQUILIBRIUM</t>
  </si>
  <si>
    <t>Food Density:</t>
  </si>
  <si>
    <t>Predator Count:</t>
  </si>
  <si>
    <t>count</t>
  </si>
  <si>
    <t>Average Response:</t>
  </si>
  <si>
    <t>Population Density:</t>
  </si>
  <si>
    <t>per km²</t>
  </si>
  <si>
    <t>Homeostasis Index:</t>
  </si>
  <si>
    <t>Pollutant Level:</t>
  </si>
  <si>
    <t>Overall Fitness:</t>
  </si>
  <si>
    <t>Mutation Rate:</t>
  </si>
  <si>
    <t>Ecosystem Status:</t>
  </si>
  <si>
    <t>🔄 FEEDBACK LOOP CONNECTIONS</t>
  </si>
  <si>
    <t>Loop Name</t>
  </si>
  <si>
    <t>Input → Output</t>
  </si>
  <si>
    <t>Strength</t>
  </si>
  <si>
    <t>Temp → Metabolism</t>
  </si>
  <si>
    <t>Negative</t>
  </si>
  <si>
    <t>🔵 Stabilizing</t>
  </si>
  <si>
    <t>Respiratory Adaptation</t>
  </si>
  <si>
    <t>Pressure → Breathing</t>
  </si>
  <si>
    <t>Week, Growth Factor</t>
  </si>
  <si>
    <t>Energy Acquisition</t>
  </si>
  <si>
    <t>Food → Energy</t>
  </si>
  <si>
    <t>Positive</t>
  </si>
  <si>
    <t>🟠 Amplifying</t>
  </si>
  <si>
    <t>Genetic Inheritance</t>
  </si>
  <si>
    <t>Stress Response</t>
  </si>
  <si>
    <t>Predators → Cortisol</t>
  </si>
  <si>
    <t>Hydration Balance</t>
  </si>
  <si>
    <t>Humidity → Fluids</t>
  </si>
  <si>
    <t>Breathing Rate</t>
  </si>
  <si>
    <t>Circadian Sync</t>
  </si>
  <si>
    <t>Light → Sleep/Wake</t>
  </si>
  <si>
    <t>Oscillating</t>
  </si>
  <si>
    <t>🟣 Cycling</t>
  </si>
  <si>
    <t>Social Regulation</t>
  </si>
  <si>
    <t>Density → Behaviour</t>
  </si>
  <si>
    <t>Low</t>
  </si>
  <si>
    <t>Evolutionary Drift</t>
  </si>
  <si>
    <t>Mutation → Adaptation</t>
  </si>
  <si>
    <t>Feedback Signals</t>
  </si>
  <si>
    <t>📈 ECOSYSTEM SUMMARY STATISTICS</t>
  </si>
  <si>
    <t>Total Feedback Loops:</t>
  </si>
  <si>
    <t>Environmental Quality:</t>
  </si>
  <si>
    <t>Physical Feedbacks:</t>
  </si>
  <si>
    <t>Organism Fitness:</t>
  </si>
  <si>
    <t>Biological Feedbacks:</t>
  </si>
  <si>
    <t>System Stability:</t>
  </si>
  <si>
    <t>Cognitive Feedbacks:</t>
  </si>
  <si>
    <t>Overall Ecosystem:</t>
  </si>
  <si>
    <t>Planetary Feedbacks:</t>
  </si>
  <si>
    <t>🌍 A7DO PLANETARY RESOURCE MATRIX</t>
  </si>
  <si>
    <t>Resource Type</t>
  </si>
  <si>
    <t>Renewable</t>
  </si>
  <si>
    <t>Extraction Method</t>
  </si>
  <si>
    <t>Energy Value</t>
  </si>
  <si>
    <t>Base Amount</t>
  </si>
  <si>
    <t>Current Amount</t>
  </si>
  <si>
    <t>Extraction Rate</t>
  </si>
  <si>
    <t>Renewal Rate</t>
  </si>
  <si>
    <t>Solar Energy</t>
  </si>
  <si>
    <t>Yes</t>
  </si>
  <si>
    <t>Geothermal Heat</t>
  </si>
  <si>
    <t>Conduction</t>
  </si>
  <si>
    <t>Hydroelectric Flow</t>
  </si>
  <si>
    <t>Water Cycle</t>
  </si>
  <si>
    <t>Flow Conversion</t>
  </si>
  <si>
    <t>Wind Energy</t>
  </si>
  <si>
    <t>Turbine Conversion</t>
  </si>
  <si>
    <t>Mineral Deposits</t>
  </si>
  <si>
    <t>Geological Formation</t>
  </si>
  <si>
    <t>No</t>
  </si>
  <si>
    <t>Mining</t>
  </si>
  <si>
    <t>Organic Matter</t>
  </si>
  <si>
    <t>Biome Cycle</t>
  </si>
  <si>
    <t>Decomposition</t>
  </si>
  <si>
    <t>Water Reservoir</t>
  </si>
  <si>
    <t>Hydrological Cycle</t>
  </si>
  <si>
    <t>Extraction</t>
  </si>
  <si>
    <t>Atmospheric Gas</t>
  </si>
  <si>
    <t>Planetary Mix</t>
  </si>
  <si>
    <t>Diffusion</t>
  </si>
  <si>
    <t>Fossil Fuel</t>
  </si>
  <si>
    <t>Organic Compression</t>
  </si>
  <si>
    <t>Combustion</t>
  </si>
  <si>
    <t>Nuclear Material</t>
  </si>
  <si>
    <t>Atomic Decay</t>
  </si>
  <si>
    <t>Fission</t>
  </si>
  <si>
    <t>Very High</t>
  </si>
  <si>
    <t>⚡ RESOURCE SIMULATION DASHBOARD</t>
  </si>
  <si>
    <t>📊 RESOURCE BALANCE</t>
  </si>
  <si>
    <t>Total Energy Available:</t>
  </si>
  <si>
    <t>units</t>
  </si>
  <si>
    <t>Total Materials:</t>
  </si>
  <si>
    <t>Total Fluids:</t>
  </si>
  <si>
    <t>🔋 ENERGY SOURCES</t>
  </si>
  <si>
    <t>Renewable %:</t>
  </si>
  <si>
    <t>Solar Input:</t>
  </si>
  <si>
    <t>Non-Renewable %:</t>
  </si>
  <si>
    <t>Geothermal:</t>
  </si>
  <si>
    <t>Hydro:</t>
  </si>
  <si>
    <t>⚖️ ENERGY FLOW</t>
  </si>
  <si>
    <t>Wind:</t>
  </si>
  <si>
    <t>Energy Input (Renewable):</t>
  </si>
  <si>
    <t>units/tick</t>
  </si>
  <si>
    <t>Fossil Fuel:</t>
  </si>
  <si>
    <t>Energy Consumption:</t>
  </si>
  <si>
    <t>Nuclear:</t>
  </si>
  <si>
    <t>Net Energy Flow:</t>
  </si>
  <si>
    <t>Balance Status:</t>
  </si>
  <si>
    <t>Total Resources:</t>
  </si>
  <si>
    <t>Renewable Resources:</t>
  </si>
  <si>
    <t>Layer Coordinates</t>
  </si>
  <si>
    <t>Non-Renewable:</t>
  </si>
  <si>
    <t>Energy Constants</t>
  </si>
  <si>
    <t>Avg Extraction Rate:</t>
  </si>
  <si>
    <t>Consumption Rates</t>
  </si>
  <si>
    <t>Planetary Health:</t>
  </si>
  <si>
    <t>🧠 A7DO MEMORY SYSTEM</t>
  </si>
  <si>
    <t>Base parameter</t>
  </si>
  <si>
    <t>Memory Decay:</t>
  </si>
  <si>
    <t>Per tick decay</t>
  </si>
  <si>
    <t>Consolidation Rate:</t>
  </si>
  <si>
    <t>STM→LTM transfer</t>
  </si>
  <si>
    <t>📋 MEMORY TYPES MATRIX</t>
  </si>
  <si>
    <t>Capacity</t>
  </si>
  <si>
    <t>Duration</t>
  </si>
  <si>
    <t>Activation Wk</t>
  </si>
  <si>
    <t>Maturity Wk</t>
  </si>
  <si>
    <t>Current Wk</t>
  </si>
  <si>
    <t>Encoding</t>
  </si>
  <si>
    <t>Retrieval</t>
  </si>
  <si>
    <t>Sensory Memory</t>
  </si>
  <si>
    <t>Ultra-Short</t>
  </si>
  <si>
    <t>Unlimited</t>
  </si>
  <si>
    <t>250ms</t>
  </si>
  <si>
    <t>Automatic</t>
  </si>
  <si>
    <t>Instant</t>
  </si>
  <si>
    <t>Iconic Memory</t>
  </si>
  <si>
    <t>Visual Buffer</t>
  </si>
  <si>
    <t>12 items</t>
  </si>
  <si>
    <t>500ms</t>
  </si>
  <si>
    <t>Echoic Memory</t>
  </si>
  <si>
    <t>Auditory Buffer</t>
  </si>
  <si>
    <t>4 items</t>
  </si>
  <si>
    <t>3-4 sec</t>
  </si>
  <si>
    <t>Working Memory</t>
  </si>
  <si>
    <t>Short-Term</t>
  </si>
  <si>
    <t>7±2 items</t>
  </si>
  <si>
    <t>20-30 sec</t>
  </si>
  <si>
    <t>Rehearsal</t>
  </si>
  <si>
    <t>Fast</t>
  </si>
  <si>
    <t>Phonological Loop</t>
  </si>
  <si>
    <t>Verbal STM</t>
  </si>
  <si>
    <t>2 sec audio</t>
  </si>
  <si>
    <t>2 sec</t>
  </si>
  <si>
    <t>Subvocal</t>
  </si>
  <si>
    <t>Visuospatial Sketchpad</t>
  </si>
  <si>
    <t>Visual STM</t>
  </si>
  <si>
    <t>4 objects</t>
  </si>
  <si>
    <t>Spatial</t>
  </si>
  <si>
    <t>Central Executive</t>
  </si>
  <si>
    <t>Control</t>
  </si>
  <si>
    <t>Limited</t>
  </si>
  <si>
    <t>Attentional</t>
  </si>
  <si>
    <t>Episodic Buffer</t>
  </si>
  <si>
    <t>Integration</t>
  </si>
  <si>
    <t>4 chunks</t>
  </si>
  <si>
    <t>Minutes</t>
  </si>
  <si>
    <t>Binding</t>
  </si>
  <si>
    <t>Episodic Memory</t>
  </si>
  <si>
    <t>Long-Term</t>
  </si>
  <si>
    <t>Lifetime</t>
  </si>
  <si>
    <t>Contextual</t>
  </si>
  <si>
    <t>Autobiographical</t>
  </si>
  <si>
    <t>Semantic Memory</t>
  </si>
  <si>
    <t>Conceptual</t>
  </si>
  <si>
    <t>Knowledge</t>
  </si>
  <si>
    <t>Procedural Memory</t>
  </si>
  <si>
    <t>Skills</t>
  </si>
  <si>
    <t>Prospective Memory</t>
  </si>
  <si>
    <t>Future-Oriented</t>
  </si>
  <si>
    <t>Intentional</t>
  </si>
  <si>
    <t>Cued</t>
  </si>
  <si>
    <t>Planning</t>
  </si>
  <si>
    <t>📊 MEMORY DASHBOARD</t>
  </si>
  <si>
    <t>Total Memory Types:</t>
  </si>
  <si>
    <t>Mature Systems:</t>
  </si>
  <si>
    <t>Developing Systems:</t>
  </si>
  <si>
    <t>Dormant Systems:</t>
  </si>
  <si>
    <t>Memory Capacity Index:</t>
  </si>
  <si>
    <t>Overall Status:</t>
  </si>
  <si>
    <t>🔄 MEMORY PROCESSES</t>
  </si>
  <si>
    <t>Process</t>
  </si>
  <si>
    <t>Input</t>
  </si>
  <si>
    <t>E=∑(Input·Attention)</t>
  </si>
  <si>
    <t>Converts perception to memory trace</t>
  </si>
  <si>
    <t>Consolidation</t>
  </si>
  <si>
    <t>Transfer</t>
  </si>
  <si>
    <t>C=M·Sleep·θ</t>
  </si>
  <si>
    <t>Stabilizes memories during rest</t>
  </si>
  <si>
    <t>All Memory Types</t>
  </si>
  <si>
    <t>Cognition Matrix</t>
  </si>
  <si>
    <t>R=∑(Cue·Similarity·Weight)</t>
  </si>
  <si>
    <t>Recalls stored information</t>
  </si>
  <si>
    <t>Reconsolidation</t>
  </si>
  <si>
    <t>Update</t>
  </si>
  <si>
    <t>M'=M+ΔContext</t>
  </si>
  <si>
    <t>Modifies retrieved memories</t>
  </si>
  <si>
    <t>Decay</t>
  </si>
  <si>
    <t>Loss</t>
  </si>
  <si>
    <t>Mₜ₊₁=Mₜ·e^(-λt)</t>
  </si>
  <si>
    <t>Natural forgetting process</t>
  </si>
  <si>
    <t>Interference</t>
  </si>
  <si>
    <t>Disruption</t>
  </si>
  <si>
    <t>I=∑(Competing·Similarity)</t>
  </si>
  <si>
    <t>Competing memories block recall</t>
  </si>
  <si>
    <t>Priming</t>
  </si>
  <si>
    <t>Facilitation</t>
  </si>
  <si>
    <t>P=Activation·Spread</t>
  </si>
  <si>
    <t>Prior exposure speeds retrieval</t>
  </si>
  <si>
    <t>Pattern Completion</t>
  </si>
  <si>
    <t>Inference</t>
  </si>
  <si>
    <t>C=Partial→Full</t>
  </si>
  <si>
    <t>Reconstructs full memory from cue</t>
  </si>
  <si>
    <t>🔗 MEMORY-NPC INTEGRATION</t>
  </si>
  <si>
    <t>Memory Type</t>
  </si>
  <si>
    <t>Shared Across NPCs</t>
  </si>
  <si>
    <t>Transfer Method</t>
  </si>
  <si>
    <t>Inheritance</t>
  </si>
  <si>
    <t>Language/Teaching</t>
  </si>
  <si>
    <t>Cultural</t>
  </si>
  <si>
    <t>Shared facts and concepts</t>
  </si>
  <si>
    <t>Partial</t>
  </si>
  <si>
    <t>Personal experiences can be shared</t>
  </si>
  <si>
    <t>Demonstration</t>
  </si>
  <si>
    <t>Skills taught through practice</t>
  </si>
  <si>
    <t>Emotional Memory</t>
  </si>
  <si>
    <t>Empathy</t>
  </si>
  <si>
    <t>Individual emotional associations</t>
  </si>
  <si>
    <t>Active processing is individual</t>
  </si>
  <si>
    <t>Shared planning and intentions</t>
  </si>
  <si>
    <t>📊 NPC Memory Status (Live Link)</t>
  </si>
  <si>
    <t>Total NPCs:</t>
  </si>
  <si>
    <t>NPCs with Long-Term Memory:</t>
  </si>
  <si>
    <t>NPCs with Working Memory:</t>
  </si>
  <si>
    <t>❤️ A7DO EMOTION &amp; REINFORCEMENT MATRIX</t>
  </si>
  <si>
    <t>Testosterone Level:</t>
  </si>
  <si>
    <t>Estrogen Level:</t>
  </si>
  <si>
    <t>Cortisol Level:</t>
  </si>
  <si>
    <t>Dopamine Base:</t>
  </si>
  <si>
    <t>Serotonin Base:</t>
  </si>
  <si>
    <t>Oxytocin Base:</t>
  </si>
  <si>
    <t>Adrenaline Base:</t>
  </si>
  <si>
    <t>🎭 EMOTION STATES MATRIX</t>
  </si>
  <si>
    <t>Emotion</t>
  </si>
  <si>
    <t>Arousal</t>
  </si>
  <si>
    <t>Primary Hormone</t>
  </si>
  <si>
    <t>Trigger</t>
  </si>
  <si>
    <t>Intensity</t>
  </si>
  <si>
    <t>Joy</t>
  </si>
  <si>
    <t>Dopamine</t>
  </si>
  <si>
    <t>Reward</t>
  </si>
  <si>
    <t>Fear</t>
  </si>
  <si>
    <t>Adrenaline</t>
  </si>
  <si>
    <t>Threat</t>
  </si>
  <si>
    <t>Anger</t>
  </si>
  <si>
    <t>Frustration</t>
  </si>
  <si>
    <t>Sadness</t>
  </si>
  <si>
    <t>Surprise</t>
  </si>
  <si>
    <t>±0.5</t>
  </si>
  <si>
    <t>Unexpected</t>
  </si>
  <si>
    <t>Disgust</t>
  </si>
  <si>
    <t>Rejection</t>
  </si>
  <si>
    <t>Trust</t>
  </si>
  <si>
    <t>Oxytocin</t>
  </si>
  <si>
    <t>Safety</t>
  </si>
  <si>
    <t>Anticipation</t>
  </si>
  <si>
    <t>Expectation</t>
  </si>
  <si>
    <t>Love</t>
  </si>
  <si>
    <t>Anxiety</t>
  </si>
  <si>
    <t>Uncertainty</t>
  </si>
  <si>
    <t>🎯 REINFORCEMENT LEARNING</t>
  </si>
  <si>
    <t>Decay Rate</t>
  </si>
  <si>
    <t>Reward Signal</t>
  </si>
  <si>
    <t>Punishment Signal</t>
  </si>
  <si>
    <t>Novelty Signal</t>
  </si>
  <si>
    <t>Social Reward</t>
  </si>
  <si>
    <t>Intrinsic Motivation</t>
  </si>
  <si>
    <t>📊 EMOTIONAL DASHBOARD</t>
  </si>
  <si>
    <t>Emotional Valence:</t>
  </si>
  <si>
    <t>Arousal Level:</t>
  </si>
  <si>
    <t>Emotional Maturity:</t>
  </si>
  <si>
    <t>Motivation Index:</t>
  </si>
  <si>
    <t>Reward Sensitivity:</t>
  </si>
  <si>
    <t>Overall Emotional State:</t>
  </si>
  <si>
    <t>⚡ A7DO ENERGY &amp; ATP SYSTEM</t>
  </si>
  <si>
    <t>⚙️ METABOLIC CONTROL PANEL</t>
  </si>
  <si>
    <t>Nutrient Flow:</t>
  </si>
  <si>
    <t>O₂ Level:</t>
  </si>
  <si>
    <t>Metabolic Rate Base:</t>
  </si>
  <si>
    <t>kcal/kg/day</t>
  </si>
  <si>
    <t>ATP Production Rate:</t>
  </si>
  <si>
    <t>ATP/sec</t>
  </si>
  <si>
    <t>Energy Reserve:</t>
  </si>
  <si>
    <t>% capacity</t>
  </si>
  <si>
    <t>Cognitive Drain:</t>
  </si>
  <si>
    <t>% per tick</t>
  </si>
  <si>
    <t>Motor Drain:</t>
  </si>
  <si>
    <t>Basal Metabolic Rate:</t>
  </si>
  <si>
    <t>kcal/day</t>
  </si>
  <si>
    <t>Efficiency</t>
  </si>
  <si>
    <t>Availability</t>
  </si>
  <si>
    <t>ATP Yield</t>
  </si>
  <si>
    <t>Glucose</t>
  </si>
  <si>
    <t>Carbohydrate</t>
  </si>
  <si>
    <t>Fatty Acids</t>
  </si>
  <si>
    <t>Lipid</t>
  </si>
  <si>
    <t>Amino Acids</t>
  </si>
  <si>
    <t>Protein</t>
  </si>
  <si>
    <t>Ketone Bodies</t>
  </si>
  <si>
    <t>Alternative</t>
  </si>
  <si>
    <t>Lactate</t>
  </si>
  <si>
    <t>Anaerobic</t>
  </si>
  <si>
    <t>Creatine Phosphate</t>
  </si>
  <si>
    <t>Immediate</t>
  </si>
  <si>
    <t>🔌 ENERGY CONSUMERS</t>
  </si>
  <si>
    <t>System</t>
  </si>
  <si>
    <t>Priority</t>
  </si>
  <si>
    <t>Base Drain</t>
  </si>
  <si>
    <t>Activity Factor</t>
  </si>
  <si>
    <t>Current Drain</t>
  </si>
  <si>
    <t>% of Total</t>
  </si>
  <si>
    <t>Respiratory System</t>
  </si>
  <si>
    <t>Skeletal Muscle</t>
  </si>
  <si>
    <t>Immune System</t>
  </si>
  <si>
    <t>Growth &amp; Repair</t>
  </si>
  <si>
    <t>📊 ENERGY BALANCE DASHBOARD</t>
  </si>
  <si>
    <t>Total ATP Production:</t>
  </si>
  <si>
    <t>Total Energy Drain:</t>
  </si>
  <si>
    <t>Net Energy Balance:</t>
  </si>
  <si>
    <t>Cognitive Capacity:</t>
  </si>
  <si>
    <t>Motor Capacity:</t>
  </si>
  <si>
    <t>Fatigue Index:</t>
  </si>
  <si>
    <t>Recovery Rate:</t>
  </si>
  <si>
    <t>System Status:</t>
  </si>
  <si>
    <t>🔮 A7DO PREDICTIVE SIMULATION KERNEL</t>
  </si>
  <si>
    <t>⚙️ PREDICTION CONTROL PANEL</t>
  </si>
  <si>
    <t>Prediction Horizon:</t>
  </si>
  <si>
    <t>Ticks ahead</t>
  </si>
  <si>
    <t>Model Confidence:</t>
  </si>
  <si>
    <t>0-1 scale</t>
  </si>
  <si>
    <t>Error Threshold:</t>
  </si>
  <si>
    <t>Error tolerance</t>
  </si>
  <si>
    <t>Update Frequency:</t>
  </si>
  <si>
    <t>Ticks per update</t>
  </si>
  <si>
    <t>🧠 FORWARD MODELS</t>
  </si>
  <si>
    <t>Model</t>
  </si>
  <si>
    <t>Accuracy</t>
  </si>
  <si>
    <t>Prediction Error</t>
  </si>
  <si>
    <t>Motor Forward Model</t>
  </si>
  <si>
    <t>Predicted State</t>
  </si>
  <si>
    <t>Sensory Prediction</t>
  </si>
  <si>
    <t>Expected Input</t>
  </si>
  <si>
    <t>Social Prediction</t>
  </si>
  <si>
    <t>Emotion Matrix</t>
  </si>
  <si>
    <t>Other Behavior</t>
  </si>
  <si>
    <t>Reward Prediction</t>
  </si>
  <si>
    <t>Reinforcement</t>
  </si>
  <si>
    <t>Expected Reward</t>
  </si>
  <si>
    <t>Temporal Prediction</t>
  </si>
  <si>
    <t>Memory System</t>
  </si>
  <si>
    <t>Future State</t>
  </si>
  <si>
    <t>Causal Model</t>
  </si>
  <si>
    <t>Object State</t>
  </si>
  <si>
    <t>Self-Model</t>
  </si>
  <si>
    <t>Self State</t>
  </si>
  <si>
    <t>World Model</t>
  </si>
  <si>
    <t>Simulation</t>
  </si>
  <si>
    <t>Action-Outcome</t>
  </si>
  <si>
    <t>Decision Node</t>
  </si>
  <si>
    <t>Result</t>
  </si>
  <si>
    <t>🎯 ACTIVE INFERENCE</t>
  </si>
  <si>
    <t>Perception Update</t>
  </si>
  <si>
    <t>Sensory Error</t>
  </si>
  <si>
    <t>Belief Revision</t>
  </si>
  <si>
    <t>Action Selection</t>
  </si>
  <si>
    <t>Motor Command</t>
  </si>
  <si>
    <t>Model Update</t>
  </si>
  <si>
    <t>Outcome Error</t>
  </si>
  <si>
    <t>Weight Change</t>
  </si>
  <si>
    <t>Attention Shift</t>
  </si>
  <si>
    <t>Surprise Signal</t>
  </si>
  <si>
    <t>Focus Change</t>
  </si>
  <si>
    <t>Goal Revision</t>
  </si>
  <si>
    <t>Value Error</t>
  </si>
  <si>
    <t>New Goal</t>
  </si>
  <si>
    <t>📊 PREDICTION DASHBOARD</t>
  </si>
  <si>
    <t>Total Models:</t>
  </si>
  <si>
    <t>Active Models:</t>
  </si>
  <si>
    <t>Dormant Models:</t>
  </si>
  <si>
    <t>Avg Prediction Accuracy:</t>
  </si>
  <si>
    <t>Avg Prediction Error:</t>
  </si>
  <si>
    <t>Planning Horizon:</t>
  </si>
  <si>
    <t>Predictive System Status:</t>
  </si>
  <si>
    <t>👁️ A7DO ATTENTION CONTROL SYSTEM</t>
  </si>
  <si>
    <t>⚙️ ATTENTION CONTROL PANEL</t>
  </si>
  <si>
    <t>Energy System</t>
  </si>
  <si>
    <t>Focus Capacity:</t>
  </si>
  <si>
    <t>Items (7±2)</t>
  </si>
  <si>
    <t>Gating Threshold:</t>
  </si>
  <si>
    <t>Priority Decay:</t>
  </si>
  <si>
    <t>Per tick</t>
  </si>
  <si>
    <t>Minutes base</t>
  </si>
  <si>
    <t>📡 ATTENTION CHANNELS</t>
  </si>
  <si>
    <t>Channel</t>
  </si>
  <si>
    <t>Gating Status</t>
  </si>
  <si>
    <t>Attention Weight</t>
  </si>
  <si>
    <t>Visual Attention</t>
  </si>
  <si>
    <t>Auditory Attention</t>
  </si>
  <si>
    <t>Tactile Attention</t>
  </si>
  <si>
    <t>Proprioceptive</t>
  </si>
  <si>
    <t>Body Sense</t>
  </si>
  <si>
    <t>Interoceptive</t>
  </si>
  <si>
    <t>Internal</t>
  </si>
  <si>
    <t>Social Attention</t>
  </si>
  <si>
    <t>Faces/Gaze</t>
  </si>
  <si>
    <t>Executive Attention</t>
  </si>
  <si>
    <t>Goals</t>
  </si>
  <si>
    <t>Alerting Attention</t>
  </si>
  <si>
    <t>🎯 FOCUS ALLOCATION</t>
  </si>
  <si>
    <t>Resource</t>
  </si>
  <si>
    <t>Allocated</t>
  </si>
  <si>
    <t>Available</t>
  </si>
  <si>
    <t>Working Memory Slots</t>
  </si>
  <si>
    <t>Processing Threads</t>
  </si>
  <si>
    <t>Sustained Focus</t>
  </si>
  <si>
    <t>Divided Attention</t>
  </si>
  <si>
    <t>📊 ATTENTION DASHBOARD</t>
  </si>
  <si>
    <t>Total Channels:</t>
  </si>
  <si>
    <t>Open Channels:</t>
  </si>
  <si>
    <t>Gated Channels:</t>
  </si>
  <si>
    <t>Total Attention Weight:</t>
  </si>
  <si>
    <t>Dominant Channel:</t>
  </si>
  <si>
    <t>Attention Span (min):</t>
  </si>
  <si>
    <t>Focus Efficiency:</t>
  </si>
  <si>
    <t>Distraction Resistance:</t>
  </si>
  <si>
    <t>🪞 A7DO CONSCIOUSNESS LOOP — GENESIS MIND CORE</t>
  </si>
  <si>
    <t>⚙️ GENESIS MIND CONTROL PANEL</t>
  </si>
  <si>
    <t>Memory Maturity:</t>
  </si>
  <si>
    <t>Emotion Maturity:</t>
  </si>
  <si>
    <t>Prediction Accuracy:</t>
  </si>
  <si>
    <t>Predictive Simulation</t>
  </si>
  <si>
    <t>Attention Focus:</t>
  </si>
  <si>
    <t>Attention Control</t>
  </si>
  <si>
    <t>Sensory Integration:</t>
  </si>
  <si>
    <t>Cognitive Coherence:</t>
  </si>
  <si>
    <t>Avg all systems</t>
  </si>
  <si>
    <t>Self-Awareness Index:</t>
  </si>
  <si>
    <t>Identity × Coherence</t>
  </si>
  <si>
    <t>Consciousness Threshold:</t>
  </si>
  <si>
    <t>Min for awareness</t>
  </si>
  <si>
    <t>🧠 CONSCIOUSNESS COMPONENTS</t>
  </si>
  <si>
    <t>Integration %</t>
  </si>
  <si>
    <t>Global Workspace</t>
  </si>
  <si>
    <t>All Subsystems</t>
  </si>
  <si>
    <t>Unified Experience</t>
  </si>
  <si>
    <t>Memory + Prediction</t>
  </si>
  <si>
    <t>Self-Representation</t>
  </si>
  <si>
    <t>Reflection</t>
  </si>
  <si>
    <t>Thought Awareness</t>
  </si>
  <si>
    <t>Intentionality</t>
  </si>
  <si>
    <t>Agency</t>
  </si>
  <si>
    <t>Goal Direction</t>
  </si>
  <si>
    <t>Temporal Binding</t>
  </si>
  <si>
    <t>Continuity</t>
  </si>
  <si>
    <t>Time Flow</t>
  </si>
  <si>
    <t>Phenomenal Unity</t>
  </si>
  <si>
    <t>Experience</t>
  </si>
  <si>
    <t>Qualia Binding</t>
  </si>
  <si>
    <t>Narrative Self</t>
  </si>
  <si>
    <t>Identity</t>
  </si>
  <si>
    <t>Life Story</t>
  </si>
  <si>
    <t>Other Minds</t>
  </si>
  <si>
    <t>Free Will</t>
  </si>
  <si>
    <t>Decision + Prediction</t>
  </si>
  <si>
    <t>Choice</t>
  </si>
  <si>
    <t>Introspection</t>
  </si>
  <si>
    <t>Inner Access</t>
  </si>
  <si>
    <t>🌟 GENESIS MIND DASHBOARD</t>
  </si>
  <si>
    <t>Active Components:</t>
  </si>
  <si>
    <t>Emerging Components:</t>
  </si>
  <si>
    <t>Dormant Components:</t>
  </si>
  <si>
    <t>Consciousness Index:</t>
  </si>
  <si>
    <t>Self-Awareness Level:</t>
  </si>
  <si>
    <t>Cognitive Integration:</t>
  </si>
  <si>
    <t>Experiential Unity:</t>
  </si>
  <si>
    <t>Agency Score:</t>
  </si>
  <si>
    <t>Genesis Mind Status:</t>
  </si>
  <si>
    <t>Awareness State:</t>
  </si>
  <si>
    <t>Mind Emergence:</t>
  </si>
  <si>
    <t>Connected To</t>
  </si>
  <si>
    <t>Week, Neural Gain, Identity</t>
  </si>
  <si>
    <t>Storage</t>
  </si>
  <si>
    <t>Episodic, Semantic, Procedural</t>
  </si>
  <si>
    <t>Emotion &amp; Reinforcement</t>
  </si>
  <si>
    <t>Affect</t>
  </si>
  <si>
    <t>Valence, Arousal, Motivation</t>
  </si>
  <si>
    <t>Energy &amp; ATP</t>
  </si>
  <si>
    <t>Resources</t>
  </si>
  <si>
    <t>Capacity, Drain, Recovery</t>
  </si>
  <si>
    <t>Models, Errors, Planning</t>
  </si>
  <si>
    <t>Channels, Gating, Priority</t>
  </si>
  <si>
    <t>All Modalities</t>
  </si>
  <si>
    <t>Perception, Reasoning, Decision</t>
  </si>
  <si>
    <t>👥 A7DO NPC MULTI-AGENT SYSTEM</t>
  </si>
  <si>
    <t>World Origin X:</t>
  </si>
  <si>
    <t>World Origin Y:</t>
  </si>
  <si>
    <t>World Origin Z:</t>
  </si>
  <si>
    <t>Active NPCs:</t>
  </si>
  <si>
    <t>Calculated</t>
  </si>
  <si>
    <t>Average Energy:</t>
  </si>
  <si>
    <t>📋 NPC MATRIX</t>
  </si>
  <si>
    <t>NPC ID</t>
  </si>
  <si>
    <t>Sex</t>
  </si>
  <si>
    <t>Age Stage</t>
  </si>
  <si>
    <t>World X</t>
  </si>
  <si>
    <t>World Y</t>
  </si>
  <si>
    <t>World Z</t>
  </si>
  <si>
    <t>Development Link</t>
  </si>
  <si>
    <t>Active Systems</t>
  </si>
  <si>
    <t>Energy State</t>
  </si>
  <si>
    <t>Energy %</t>
  </si>
  <si>
    <t>Emotion State</t>
  </si>
  <si>
    <t>Cognition State</t>
  </si>
  <si>
    <t>Memory State</t>
  </si>
  <si>
    <t>NPC-001</t>
  </si>
  <si>
    <t>Alexis</t>
  </si>
  <si>
    <t>M</t>
  </si>
  <si>
    <t>Adult</t>
  </si>
  <si>
    <t>Linked</t>
  </si>
  <si>
    <t>Stable</t>
  </si>
  <si>
    <t>Neutral</t>
  </si>
  <si>
    <t>NPC-002</t>
  </si>
  <si>
    <t>Evelyn</t>
  </si>
  <si>
    <t>F</t>
  </si>
  <si>
    <t>NPC-003</t>
  </si>
  <si>
    <t>Liam</t>
  </si>
  <si>
    <t>Motor+Emotion</t>
  </si>
  <si>
    <t>Curious</t>
  </si>
  <si>
    <t>Learning</t>
  </si>
  <si>
    <t>Working</t>
  </si>
  <si>
    <t>🟡 Developing</t>
  </si>
  <si>
    <t>NPC-004</t>
  </si>
  <si>
    <t>Sophia</t>
  </si>
  <si>
    <t>Playful</t>
  </si>
  <si>
    <t>NPC-005</t>
  </si>
  <si>
    <t>Noah</t>
  </si>
  <si>
    <t>Child</t>
  </si>
  <si>
    <t>Sensory+Motor</t>
  </si>
  <si>
    <t>Calm</t>
  </si>
  <si>
    <t>Emergent</t>
  </si>
  <si>
    <t>NPC-006</t>
  </si>
  <si>
    <t>Emma</t>
  </si>
  <si>
    <t>Joyful</t>
  </si>
  <si>
    <t>NPC-007</t>
  </si>
  <si>
    <t>James</t>
  </si>
  <si>
    <t>Cognition+Memory</t>
  </si>
  <si>
    <t>Reflective</t>
  </si>
  <si>
    <t>Analytical</t>
  </si>
  <si>
    <t>NPC-008</t>
  </si>
  <si>
    <t>Olivia</t>
  </si>
  <si>
    <t>Cognition+Emotion</t>
  </si>
  <si>
    <t>Empathetic</t>
  </si>
  <si>
    <t>🔗 NPC RELATIONSHIP MATRIX</t>
  </si>
  <si>
    <t>NPC A</t>
  </si>
  <si>
    <t>NPC B</t>
  </si>
  <si>
    <t>Relationship</t>
  </si>
  <si>
    <t>Development Influence</t>
  </si>
  <si>
    <t>Shared Memory</t>
  </si>
  <si>
    <t>Bond Strength</t>
  </si>
  <si>
    <t>Partner</t>
  </si>
  <si>
    <t>Mutual Support</t>
  </si>
  <si>
    <t>Speech+Gesture</t>
  </si>
  <si>
    <t>Adult pair bond</t>
  </si>
  <si>
    <t>Parent-Child</t>
  </si>
  <si>
    <t>Guidance</t>
  </si>
  <si>
    <t>Father-Son</t>
  </si>
  <si>
    <t>Care</t>
  </si>
  <si>
    <t>Touch+Voice</t>
  </si>
  <si>
    <t>Father-Child</t>
  </si>
  <si>
    <t>Speech+Emotion</t>
  </si>
  <si>
    <t>Mother-Daughter</t>
  </si>
  <si>
    <t>Mother-Child</t>
  </si>
  <si>
    <t>Sibling</t>
  </si>
  <si>
    <t>Social Learning</t>
  </si>
  <si>
    <t>Speech+Play</t>
  </si>
  <si>
    <t>Teen siblings</t>
  </si>
  <si>
    <t>Shared Growth</t>
  </si>
  <si>
    <t>Cry+Touch</t>
  </si>
  <si>
    <t>Young siblings</t>
  </si>
  <si>
    <t>Emotional Stability</t>
  </si>
  <si>
    <t>Speech+Memory</t>
  </si>
  <si>
    <t>Elder companions</t>
  </si>
  <si>
    <t>Grandparent</t>
  </si>
  <si>
    <t>Wisdom Transfer</t>
  </si>
  <si>
    <t>Speech+Story</t>
  </si>
  <si>
    <t>Grandfather</t>
  </si>
  <si>
    <t>Emotional Guidance</t>
  </si>
  <si>
    <t>Speech+Comfort</t>
  </si>
  <si>
    <t>Grandmother</t>
  </si>
  <si>
    <t>🌱 NPC DEVELOPMENT STAGES</t>
  </si>
  <si>
    <t>Motor %</t>
  </si>
  <si>
    <t>Sensory %</t>
  </si>
  <si>
    <t>Emotion %</t>
  </si>
  <si>
    <t>Memory %</t>
  </si>
  <si>
    <t>Social %</t>
  </si>
  <si>
    <t>Energy Base</t>
  </si>
  <si>
    <t>Infant</t>
  </si>
  <si>
    <t>0-1 years</t>
  </si>
  <si>
    <t>1-3 years</t>
  </si>
  <si>
    <t>3-12 years</t>
  </si>
  <si>
    <t>12-18 years</t>
  </si>
  <si>
    <t>18-35 years</t>
  </si>
  <si>
    <t>35-55 years</t>
  </si>
  <si>
    <t>Middle Age</t>
  </si>
  <si>
    <t>55-70 years</t>
  </si>
  <si>
    <t>70+ years</t>
  </si>
  <si>
    <t>📊 NPC POPULATION DASHBOARD</t>
  </si>
  <si>
    <t>🔗 SYSTEM INTEGRATION</t>
  </si>
  <si>
    <t>👨‍👩‍👧‍👦 FAMILY STRUCTURE</t>
  </si>
  <si>
    <t>Connected System</t>
  </si>
  <si>
    <t>Link Status</t>
  </si>
  <si>
    <t>Members</t>
  </si>
  <si>
    <t>Total Population:</t>
  </si>
  <si>
    <t>Timeline &amp; Development</t>
  </si>
  <si>
    <t>Grandparents:</t>
  </si>
  <si>
    <t>James, Olivia</t>
  </si>
  <si>
    <t>Adults:</t>
  </si>
  <si>
    <t>World Inventory</t>
  </si>
  <si>
    <t>Spatial Position</t>
  </si>
  <si>
    <t>Parents:</t>
  </si>
  <si>
    <t>Alexis, Evelyn</t>
  </si>
  <si>
    <t>Adolescents:</t>
  </si>
  <si>
    <t>Reasoning &amp; Decisions</t>
  </si>
  <si>
    <t>Teens:</t>
  </si>
  <si>
    <t>Liam, Sophia</t>
  </si>
  <si>
    <t>Children:</t>
  </si>
  <si>
    <t>Experience Storage</t>
  </si>
  <si>
    <t>Noah, Emma</t>
  </si>
  <si>
    <t>Elders:</t>
  </si>
  <si>
    <t>Affective States</t>
  </si>
  <si>
    <t>Male/Female Ratio:</t>
  </si>
  <si>
    <t>Energy &amp; ATP System</t>
  </si>
  <si>
    <t>Metabolic State</t>
  </si>
  <si>
    <t>Family Size:</t>
  </si>
  <si>
    <t>Avg Age (Years):</t>
  </si>
  <si>
    <t>Perception Input</t>
  </si>
  <si>
    <t>Generations:</t>
  </si>
  <si>
    <t>Avg Energy:</t>
  </si>
  <si>
    <t>Physics &amp; Collision</t>
  </si>
  <si>
    <t>Avg Bond Strength:</t>
  </si>
  <si>
    <t>Heredity &amp; Traits</t>
  </si>
  <si>
    <t>Developing NPCs:</t>
  </si>
  <si>
    <t>Relationships:</t>
  </si>
  <si>
    <t>🔗 Connected</t>
  </si>
  <si>
    <t>👥 A7DO NPC DEVELOPMENT MATRIX</t>
  </si>
  <si>
    <t>Simulation Tick:</t>
  </si>
  <si>
    <t>NPC System</t>
  </si>
  <si>
    <t>📊 NPC DEVELOPMENT STAGES</t>
  </si>
  <si>
    <t>NPC Type</t>
  </si>
  <si>
    <t>Age Range (wk)</t>
  </si>
  <si>
    <t>Growth Stage</t>
  </si>
  <si>
    <t>Energy Demand</t>
  </si>
  <si>
    <t>Emotion Var</t>
  </si>
  <si>
    <t>Memory</t>
  </si>
  <si>
    <t>World Map</t>
  </si>
  <si>
    <t>0–52</t>
  </si>
  <si>
    <t>Early Development</t>
  </si>
  <si>
    <t>High (0.9)</t>
  </si>
  <si>
    <t>Low (0.3)</t>
  </si>
  <si>
    <t>High (0.8)</t>
  </si>
  <si>
    <t>Low (0.2)</t>
  </si>
  <si>
    <t>Coarse</t>
  </si>
  <si>
    <t>52–312</t>
  </si>
  <si>
    <t>Formative Growth</t>
  </si>
  <si>
    <t>Motor+Emotion+Memory</t>
  </si>
  <si>
    <t>Medium (0.6)</t>
  </si>
  <si>
    <t>Medium (0.5)</t>
  </si>
  <si>
    <t>312–624</t>
  </si>
  <si>
    <t>Transitional</t>
  </si>
  <si>
    <t>Motor+Emotion+Cognition</t>
  </si>
  <si>
    <t>High (0.7)</t>
  </si>
  <si>
    <t>Work+Semantic</t>
  </si>
  <si>
    <t>Fine</t>
  </si>
  <si>
    <t>624–1560</t>
  </si>
  <si>
    <t>Mature Phase</t>
  </si>
  <si>
    <t>Stable (0.4)</t>
  </si>
  <si>
    <t>Medium (0.4)</t>
  </si>
  <si>
    <t>1560+</t>
  </si>
  <si>
    <t>Decline Phase</t>
  </si>
  <si>
    <t>Cognition+Memory+Emotion</t>
  </si>
  <si>
    <t>VHigh (1.0)</t>
  </si>
  <si>
    <t>Med (0.6)</t>
  </si>
  <si>
    <t>Med (0.7)</t>
  </si>
  <si>
    <t>📈 DEVELOPMENT PARAMETERS (Numeric)</t>
  </si>
  <si>
    <t>Min Age</t>
  </si>
  <si>
    <t>Max Age</t>
  </si>
  <si>
    <t>Learn Rate</t>
  </si>
  <si>
    <t>🎯 LIVE NPC DEVELOPMENT STATUS</t>
  </si>
  <si>
    <t>Age (wk)</t>
  </si>
  <si>
    <t>Dev %</t>
  </si>
  <si>
    <t>🧠 NPC BEHAVIOUR MATRIX (Big Five Personality)</t>
  </si>
  <si>
    <t>Openness</t>
  </si>
  <si>
    <t>Conscientiousness</t>
  </si>
  <si>
    <t>Extraversion</t>
  </si>
  <si>
    <t>Agreeableness</t>
  </si>
  <si>
    <t>Neuroticism</t>
  </si>
  <si>
    <t>Decision Style</t>
  </si>
  <si>
    <t>Interaction Mode</t>
  </si>
  <si>
    <t>Risk Tolerance</t>
  </si>
  <si>
    <t>Personality Type</t>
  </si>
  <si>
    <t>🤝 SOCIAL INTERACTION RULES</t>
  </si>
  <si>
    <t>Initiator Trait</t>
  </si>
  <si>
    <t>Receiver Trait</t>
  </si>
  <si>
    <t>Compatibility</t>
  </si>
  <si>
    <t>Outcome</t>
  </si>
  <si>
    <t>Bond Effect</t>
  </si>
  <si>
    <t>Cooperation</t>
  </si>
  <si>
    <t>High Agreeableness</t>
  </si>
  <si>
    <t>Trust +</t>
  </si>
  <si>
    <t>Conflict</t>
  </si>
  <si>
    <t>High Neuroticism</t>
  </si>
  <si>
    <t>Low Agreeableness</t>
  </si>
  <si>
    <t>Stress +</t>
  </si>
  <si>
    <t>High Openness</t>
  </si>
  <si>
    <t>High Conscientiousness</t>
  </si>
  <si>
    <t>Skill +</t>
  </si>
  <si>
    <t>Play</t>
  </si>
  <si>
    <t>High Extraversion</t>
  </si>
  <si>
    <t>Joy +</t>
  </si>
  <si>
    <t>Mentoring</t>
  </si>
  <si>
    <t>High Cognition</t>
  </si>
  <si>
    <t>Growth +</t>
  </si>
  <si>
    <t>Competition</t>
  </si>
  <si>
    <t>Drive +</t>
  </si>
  <si>
    <t>Calm +</t>
  </si>
  <si>
    <t>Isolation</t>
  </si>
  <si>
    <t>Low Extraversion</t>
  </si>
  <si>
    <t>🎯 DECISION PATTERN MATRIX</t>
  </si>
  <si>
    <t>Decision Speed</t>
  </si>
  <si>
    <t>Risk Preference</t>
  </si>
  <si>
    <t>Social Influence</t>
  </si>
  <si>
    <t>Emotional Weight</t>
  </si>
  <si>
    <t>Logic Weight</t>
  </si>
  <si>
    <t>Memory Reliance</t>
  </si>
  <si>
    <t>Fast (Reactive)</t>
  </si>
  <si>
    <t>High (Unaware)</t>
  </si>
  <si>
    <t>Measured</t>
  </si>
  <si>
    <t>Deliberate</t>
  </si>
  <si>
    <t>📊 NPC POPULATION SUMMARY</t>
  </si>
  <si>
    <t>Personality Metric</t>
  </si>
  <si>
    <t>Avg Openness:</t>
  </si>
  <si>
    <t>Infants:</t>
  </si>
  <si>
    <t>Avg Conscientiousness:</t>
  </si>
  <si>
    <t>Avg Extraversion:</t>
  </si>
  <si>
    <t>Avg Agreeableness:</t>
  </si>
  <si>
    <t>Avg Neuroticism:</t>
  </si>
  <si>
    <t>Architects:</t>
  </si>
  <si>
    <t>Avg Development %:</t>
  </si>
  <si>
    <t>Diplomats:</t>
  </si>
  <si>
    <t>🟢 Mature:</t>
  </si>
  <si>
    <t>Sentinels:</t>
  </si>
  <si>
    <t>🟡 Developing:</t>
  </si>
  <si>
    <t>Explorers:</t>
  </si>
  <si>
    <t>🔴 Early:</t>
  </si>
  <si>
    <t>🍽️😴☀️ A7DO NUTRITION-REST-SLEEP-WAKE SYSTEM</t>
  </si>
  <si>
    <t>Time of Day:</t>
  </si>
  <si>
    <t>Circadian Phase:</t>
  </si>
  <si>
    <t>Day/Night:</t>
  </si>
  <si>
    <t>Current Hour:</t>
  </si>
  <si>
    <t>0-23</t>
  </si>
  <si>
    <t>Melatonin Level:</t>
  </si>
  <si>
    <t>Activation Cycle</t>
  </si>
  <si>
    <t>Energy Rate</t>
  </si>
  <si>
    <t>Nutrition Intake</t>
  </si>
  <si>
    <t>Food Resources</t>
  </si>
  <si>
    <t>Daily</t>
  </si>
  <si>
    <t>Metabolism</t>
  </si>
  <si>
    <t>Rest Phase</t>
  </si>
  <si>
    <t>Periodic</t>
  </si>
  <si>
    <t>Sleep Cycle</t>
  </si>
  <si>
    <t>Wake Cycle</t>
  </si>
  <si>
    <t>Motor System</t>
  </si>
  <si>
    <t>Circadian Regulation</t>
  </si>
  <si>
    <t>Continuous</t>
  </si>
  <si>
    <t>"🔄 Continuous"</t>
  </si>
  <si>
    <t>Nutrient Distribution</t>
  </si>
  <si>
    <t>Body Nodes</t>
  </si>
  <si>
    <t>Fatigue Monitor</t>
  </si>
  <si>
    <t>Recovery Loop</t>
  </si>
  <si>
    <t>⚡ ENERGY BALANCE DASHBOARD</t>
  </si>
  <si>
    <t>👥 NPC BIOLOGICAL CYCLES</t>
  </si>
  <si>
    <t>Nutrient Intake Rate:</t>
  </si>
  <si>
    <t>per tick</t>
  </si>
  <si>
    <t>Hunger</t>
  </si>
  <si>
    <t>Thirst</t>
  </si>
  <si>
    <t>Fatigue</t>
  </si>
  <si>
    <t>Sleep Need</t>
  </si>
  <si>
    <t>Hydration Level:</t>
  </si>
  <si>
    <t>hydration</t>
  </si>
  <si>
    <t>Sleep Quality:</t>
  </si>
  <si>
    <t>quality</t>
  </si>
  <si>
    <t>Activity Load:</t>
  </si>
  <si>
    <t>drain</t>
  </si>
  <si>
    <t>Rest Efficiency:</t>
  </si>
  <si>
    <t>efficiency</t>
  </si>
  <si>
    <t>net/tick</t>
  </si>
  <si>
    <t>reserve</t>
  </si>
  <si>
    <t>fatigue</t>
  </si>
  <si>
    <t>recovery</t>
  </si>
  <si>
    <t>Energy Status:</t>
  </si>
  <si>
    <t>🌅 CIRCADIAN RHYTHM INTEGRATION</t>
  </si>
  <si>
    <t>💾 SLEEP &amp; MEMORY CONSOLIDATION</t>
  </si>
  <si>
    <t>Phase:</t>
  </si>
  <si>
    <t>Sleep Stage:</t>
  </si>
  <si>
    <t>Light Exposure:</t>
  </si>
  <si>
    <t>Melatonin:</t>
  </si>
  <si>
    <t>REM Active:</t>
  </si>
  <si>
    <t>Cortisol:</t>
  </si>
  <si>
    <t>Memory Transfer Rate:</t>
  </si>
  <si>
    <t>Body Temperature:</t>
  </si>
  <si>
    <t>Short→Long Term:</t>
  </si>
  <si>
    <t>Alertness:</t>
  </si>
  <si>
    <t>Skill Consolidation:</t>
  </si>
  <si>
    <t>Cognitive Peak:</t>
  </si>
  <si>
    <t>Emotional Processing:</t>
  </si>
  <si>
    <t>Physical Peak:</t>
  </si>
  <si>
    <t>Consolidation Status:</t>
  </si>
  <si>
    <t>Sleep Pressure:</t>
  </si>
  <si>
    <t>Circadian Sync:</t>
  </si>
  <si>
    <t>📊 SYSTEM SUMMARY</t>
  </si>
  <si>
    <t>Total Cycles:</t>
  </si>
  <si>
    <t>Week, Tick</t>
  </si>
  <si>
    <t>Active Cycles:</t>
  </si>
  <si>
    <t>Nutrients, Hydration</t>
  </si>
  <si>
    <t>Food processing</t>
  </si>
  <si>
    <t>Paused Cycles:</t>
  </si>
  <si>
    <t>Energy flow</t>
  </si>
  <si>
    <t>Avg Efficiency:</t>
  </si>
  <si>
    <t>Mental performance</t>
  </si>
  <si>
    <t>Rest/fatigue effects</t>
  </si>
  <si>
    <t>NPCs Tracked:</t>
  </si>
  <si>
    <t>Sleep memory transfer</t>
  </si>
  <si>
    <t>Mood, Stress</t>
  </si>
  <si>
    <t>Rest quality</t>
  </si>
  <si>
    <t>Tired NPCs:</t>
  </si>
  <si>
    <t>Light cycle</t>
  </si>
  <si>
    <t>Circadian sync</t>
  </si>
  <si>
    <t>Exhausted NPCs:</t>
  </si>
  <si>
    <t>All 8 NPCs</t>
  </si>
  <si>
    <t>Biological cycles</t>
  </si>
  <si>
    <t>System Health:</t>
  </si>
  <si>
    <t>👩‍🍼👨‍🍼 A7DO PARENTAL GENESIS &amp; BIRTH TRANSITION SYSTEM</t>
  </si>
  <si>
    <t>Gestation Progress:</t>
  </si>
  <si>
    <t>Birth Status:</t>
  </si>
  <si>
    <t>Days Post-Birth:</t>
  </si>
  <si>
    <t>A7DO Age (months):</t>
  </si>
  <si>
    <t>👩‍🍼👨‍🍼 PARENTAL GENESIS MATRIX</t>
  </si>
  <si>
    <t>Role</t>
  </si>
  <si>
    <t>System Domain</t>
  </si>
  <si>
    <t>Maturity Week</t>
  </si>
  <si>
    <t>Lorraine</t>
  </si>
  <si>
    <t>Mother</t>
  </si>
  <si>
    <t>Biological Gestation</t>
  </si>
  <si>
    <t>Umbilical Nutrient Flow</t>
  </si>
  <si>
    <t>Provides nutrition and growth environment</t>
  </si>
  <si>
    <t>Lorraine Womb</t>
  </si>
  <si>
    <t>Biological Containment</t>
  </si>
  <si>
    <t>Gestational Chamber</t>
  </si>
  <si>
    <t>Hosts A7DO embryo development</t>
  </si>
  <si>
    <t>Lorraine Endocrine</t>
  </si>
  <si>
    <t>Regulation</t>
  </si>
  <si>
    <t>Hormonal Control</t>
  </si>
  <si>
    <t>Modulates growth hormones and metabolic rate</t>
  </si>
  <si>
    <t>Lorraine Neural</t>
  </si>
  <si>
    <t>Feedback</t>
  </si>
  <si>
    <t>Emotional Bond</t>
  </si>
  <si>
    <t>Transfers affective signals and stress modulation</t>
  </si>
  <si>
    <t>China</t>
  </si>
  <si>
    <t>Father</t>
  </si>
  <si>
    <t>Genetic Source</t>
  </si>
  <si>
    <t>Sperm DNA Injection</t>
  </si>
  <si>
    <t>Provides genetic seed and structural code</t>
  </si>
  <si>
    <t>China Hormonal</t>
  </si>
  <si>
    <t>Endocrine Influence</t>
  </si>
  <si>
    <t>Testosterone Signal</t>
  </si>
  <si>
    <t>Modulates growth and strength parameters</t>
  </si>
  <si>
    <t>China Neural</t>
  </si>
  <si>
    <t>Protective Bond</t>
  </si>
  <si>
    <t>Transfers external stimuli and environmental signals</t>
  </si>
  <si>
    <t>Parental Sync</t>
  </si>
  <si>
    <t>Gestation Control</t>
  </si>
  <si>
    <t>Synchronises maternal and paternal inputs</t>
  </si>
  <si>
    <t>🩺 GESTATION CONTROLLER</t>
  </si>
  <si>
    <t>Nutrient Flow Regulator</t>
  </si>
  <si>
    <t>Transfers nutrients from mother to embryo</t>
  </si>
  <si>
    <t>Oxygen Exchange Module</t>
  </si>
  <si>
    <t>Maintains oxygen supply for growth</t>
  </si>
  <si>
    <t>Hormonal Sync Loop</t>
  </si>
  <si>
    <t>Aligns maternal hormones with fetal development</t>
  </si>
  <si>
    <t>Growth Factor Controller</t>
  </si>
  <si>
    <t>Organ Formation</t>
  </si>
  <si>
    <t>Activates organogenesis and tissue differentiation</t>
  </si>
  <si>
    <t>Organ Activation Sequence</t>
  </si>
  <si>
    <t>Sequentially activates organs and limbs</t>
  </si>
  <si>
    <t>Neural Link Formation</t>
  </si>
  <si>
    <t>Establishes maternal-fetal emotional connection</t>
  </si>
  <si>
    <t>Protective Barrier System</t>
  </si>
  <si>
    <t>Prevents external contamination and stress</t>
  </si>
  <si>
    <t>Fluid Balance Regulator</t>
  </si>
  <si>
    <t>Maintains amniotic fluid equilibrium</t>
  </si>
  <si>
    <t>Temperature Control Loop</t>
  </si>
  <si>
    <t>Regulates fetal temperature stability</t>
  </si>
  <si>
    <t>Parental Sync Feedback</t>
  </si>
  <si>
    <t>Lorraine + China</t>
  </si>
  <si>
    <t>Balances emotional and genetic inputs</t>
  </si>
  <si>
    <t>❤️ PRENATAL HEARTBEAT MATRIX</t>
  </si>
  <si>
    <t>Maternal Heartbeat Generator</t>
  </si>
  <si>
    <t>Lorraine Cardiac</t>
  </si>
  <si>
    <t>Rhythmic pulse driving nutrient/oxygen flow</t>
  </si>
  <si>
    <t>💓 Active</t>
  </si>
  <si>
    <t>Umbilical Pulse Transmission</t>
  </si>
  <si>
    <t>Transfers rhythmic energy to embryo</t>
  </si>
  <si>
    <t>Fetal Heartbeat Induction</t>
  </si>
  <si>
    <t>A7DO Embryo</t>
  </si>
  <si>
    <t>Synchronized fetal heartbeat</t>
  </si>
  <si>
    <t>Oxygen Pulse Exchange</t>
  </si>
  <si>
    <t>Lorraine Respiratory</t>
  </si>
  <si>
    <t>Coordinates O₂ delivery with cardiac rhythm</t>
  </si>
  <si>
    <t>Emotional Resonance Loop</t>
  </si>
  <si>
    <t>Transfers emotional rhythm and stress modulation</t>
  </si>
  <si>
    <t>Thermal Pulse Regulation</t>
  </si>
  <si>
    <t>Maintains fetal temperature stability</t>
  </si>
  <si>
    <t>Protective Rhythm Shield</t>
  </si>
  <si>
    <t>Lorraine Immune</t>
  </si>
  <si>
    <t>Synchronizes immune protection with cardiac rhythm</t>
  </si>
  <si>
    <t>Barrier</t>
  </si>
  <si>
    <t>Parental Sync Pulse</t>
  </si>
  <si>
    <t>Combines maternal + paternal rhythmic feedback</t>
  </si>
  <si>
    <t>Sync Level</t>
  </si>
  <si>
    <t>👶 BIRTH TRANSITION MATRIX</t>
  </si>
  <si>
    <t>Transition</t>
  </si>
  <si>
    <t>Pre-Birth State</t>
  </si>
  <si>
    <t>Post-Birth State</t>
  </si>
  <si>
    <t>Trigger Week</t>
  </si>
  <si>
    <t>Current State</t>
  </si>
  <si>
    <t>Umbilical Cord</t>
  </si>
  <si>
    <t>Severed</t>
  </si>
  <si>
    <t>Placental</t>
  </si>
  <si>
    <t>Open</t>
  </si>
  <si>
    <t>Closed</t>
  </si>
  <si>
    <t>Heartbeat Control</t>
  </si>
  <si>
    <t>Maternal-Synced</t>
  </si>
  <si>
    <t>Independent</t>
  </si>
  <si>
    <t>Cognition Mode</t>
  </si>
  <si>
    <t>Dormant</t>
  </si>
  <si>
    <t>Autonomous</t>
  </si>
  <si>
    <t>📊 PARENTAL DASHBOARD</t>
  </si>
  <si>
    <t>🎉 BIRTH STATUS PANEL</t>
  </si>
  <si>
    <t>Womb Temperature:</t>
  </si>
  <si>
    <t>Amniotic Fluid Level:</t>
  </si>
  <si>
    <t>Birth Progress:</t>
  </si>
  <si>
    <t>Oxygen Saturation:</t>
  </si>
  <si>
    <t>Maternal Heart Rate:</t>
  </si>
  <si>
    <t>Post-Birth Age:</t>
  </si>
  <si>
    <t>Fetal Heart Rate:</t>
  </si>
  <si>
    <t>Transitions Complete:</t>
  </si>
  <si>
    <t>Emotional Bond Index:</t>
  </si>
  <si>
    <t>Parental Sync Score:</t>
  </si>
  <si>
    <t>Source Sheet</t>
  </si>
  <si>
    <t>Week, Tick, Growth Factor</t>
  </si>
  <si>
    <t>Metabolic flow</t>
  </si>
  <si>
    <t>Emotional feedback</t>
  </si>
  <si>
    <t>Heart rate data</t>
  </si>
  <si>
    <t>Oxygen exchange</t>
  </si>
  <si>
    <t>Parental DNA</t>
  </si>
  <si>
    <t>🔗 A7DO MASTER SYSTEM CONNECTIONS DASHBOARD</t>
  </si>
  <si>
    <t>⚙️ MASTER CONTROL (From DNA Loop Engine)</t>
  </si>
  <si>
    <t>🔄 DATA FLOW HIERARCHY</t>
  </si>
  <si>
    <t>Feeds Into</t>
  </si>
  <si>
    <t>L0</t>
  </si>
  <si>
    <t>All Systems (Master Controller)</t>
  </si>
  <si>
    <t>L1</t>
  </si>
  <si>
    <t>Parental Genesis</t>
  </si>
  <si>
    <t>Gestation, Birth Transition</t>
  </si>
  <si>
    <t>Tick-Based DNA Loop</t>
  </si>
  <si>
    <t>DNA Loop Engine (Reference)</t>
  </si>
  <si>
    <t>L2</t>
  </si>
  <si>
    <t>All Anatomy Tables</t>
  </si>
  <si>
    <t>Cognition Matrix, Attention</t>
  </si>
  <si>
    <t>📋 SHEET CONNECTION STATUS</t>
  </si>
  <si>
    <t>Energy &amp; ATP, Parental Genesis</t>
  </si>
  <si>
    <t>#</t>
  </si>
  <si>
    <t>Sheet Name</t>
  </si>
  <si>
    <t>Week Link</t>
  </si>
  <si>
    <t>Energy &amp; ATP, Ecosystem Feedback</t>
  </si>
  <si>
    <t>MASTER</t>
  </si>
  <si>
    <t>🟢 Master Controller</t>
  </si>
  <si>
    <t>L3</t>
  </si>
  <si>
    <t>Memory, Emotion, Prediction</t>
  </si>
  <si>
    <t>Prenatal Phases</t>
  </si>
  <si>
    <t>Static</t>
  </si>
  <si>
    <t>🟢 Reference Table</t>
  </si>
  <si>
    <t>Consciousness Loop</t>
  </si>
  <si>
    <t>Organ &amp; System Activation</t>
  </si>
  <si>
    <t>Consciousness Loop, NPC</t>
  </si>
  <si>
    <t>All Motor/Cognitive Systems</t>
  </si>
  <si>
    <t>Anatomy</t>
  </si>
  <si>
    <t>L4</t>
  </si>
  <si>
    <t>Genesis Mind Output</t>
  </si>
  <si>
    <t>Physiology</t>
  </si>
  <si>
    <t>L5</t>
  </si>
  <si>
    <t>Planetary Resources, World State</t>
  </si>
  <si>
    <t>✅ LIVE VERIFICATION CHECKS</t>
  </si>
  <si>
    <t>Development</t>
  </si>
  <si>
    <t>Check</t>
  </si>
  <si>
    <t>Formula Result</t>
  </si>
  <si>
    <t>Infant Anatomy Engine</t>
  </si>
  <si>
    <t>DNA Engine Week</t>
  </si>
  <si>
    <t>Sensory Signal (Eyes)</t>
  </si>
  <si>
    <t>Circulatory Maturity</t>
  </si>
  <si>
    <t>Respiratory Maturity</t>
  </si>
  <si>
    <t>Parental Genesis Week</t>
  </si>
  <si>
    <t>Birth Status</t>
  </si>
  <si>
    <t>🎯 OVERALL SYSTEM STATUS</t>
  </si>
  <si>
    <t>Planetary Resources</t>
  </si>
  <si>
    <t>Multi-Agent</t>
  </si>
  <si>
    <t>NPC Development</t>
  </si>
  <si>
    <t>Nutrition-Sleep-Wake</t>
  </si>
  <si>
    <t>Biology</t>
  </si>
  <si>
    <t>System Connections</t>
  </si>
  <si>
    <t>Dashboard</t>
  </si>
  <si>
    <t>N/A</t>
  </si>
  <si>
    <t>🟢 This Sheet</t>
  </si>
  <si>
    <t>📊 CONNECTION SUMMARY</t>
  </si>
  <si>
    <t>Total Sheets:</t>
  </si>
  <si>
    <t>Foundation Sheets:</t>
  </si>
  <si>
    <t>Anatomy Sheets:</t>
  </si>
  <si>
    <t>Development Sheets:</t>
  </si>
  <si>
    <t>Physiology Sheets:</t>
  </si>
  <si>
    <t>Cognition Sheets:</t>
  </si>
  <si>
    <t>World Sheets:</t>
  </si>
  <si>
    <t>Genetics Sheets:</t>
  </si>
  <si>
    <t>Multi-Agent Sheets:</t>
  </si>
  <si>
    <t>Biology Sheets:</t>
  </si>
  <si>
    <t>🏙️ BEENFORE CITY - WORLD ENVIRONMENT</t>
  </si>
  <si>
    <t>⚙️ CITY CONTROL PANEL</t>
  </si>
  <si>
    <t>City Name:</t>
  </si>
  <si>
    <t>BeenFore City</t>
  </si>
  <si>
    <t>City Origin X:</t>
  </si>
  <si>
    <t>City Origin Y:</t>
  </si>
  <si>
    <t>City Origin Z:</t>
  </si>
  <si>
    <t>City Size:</t>
  </si>
  <si>
    <t>1 km²</t>
  </si>
  <si>
    <t>Season:</t>
  </si>
  <si>
    <t>Occupied Houses:</t>
  </si>
  <si>
    <t>Available Houses:</t>
  </si>
  <si>
    <t>City Status:</t>
  </si>
  <si>
    <t>🟢 ACTIVE</t>
  </si>
  <si>
    <t>🛣️ ROAD NETWORK</t>
  </si>
  <si>
    <t>Road Name</t>
  </si>
  <si>
    <t>Start X</t>
  </si>
  <si>
    <t>Start Y</t>
  </si>
  <si>
    <t>End X</t>
  </si>
  <si>
    <t>End Y</t>
  </si>
  <si>
    <t>Length (m)</t>
  </si>
  <si>
    <t>North Road</t>
  </si>
  <si>
    <t>Y+</t>
  </si>
  <si>
    <t>🟢 Open</t>
  </si>
  <si>
    <t>South Road</t>
  </si>
  <si>
    <t>Y-</t>
  </si>
  <si>
    <t>East Road</t>
  </si>
  <si>
    <t>X+</t>
  </si>
  <si>
    <t>West Road</t>
  </si>
  <si>
    <t>X-</t>
  </si>
  <si>
    <t>Central Roundabout</t>
  </si>
  <si>
    <t>⭕</t>
  </si>
  <si>
    <t>50 (radius)</t>
  </si>
  <si>
    <t>🏘️ BEENFORE LANE - RESIDENTIAL STREET</t>
  </si>
  <si>
    <t>House #</t>
  </si>
  <si>
    <t>Address</t>
  </si>
  <si>
    <t>Occupants</t>
  </si>
  <si>
    <t>H1</t>
  </si>
  <si>
    <t>1 BeenFore Lane</t>
  </si>
  <si>
    <t>Alexis &amp; Evelyn</t>
  </si>
  <si>
    <t>🏠 Occupied</t>
  </si>
  <si>
    <t>NPC-001, NPC-002</t>
  </si>
  <si>
    <t>H2</t>
  </si>
  <si>
    <t>2 BeenFore Lane</t>
  </si>
  <si>
    <t>H3</t>
  </si>
  <si>
    <t>3 BeenFore Lane</t>
  </si>
  <si>
    <t>H4</t>
  </si>
  <si>
    <t>4 BeenFore Lane</t>
  </si>
  <si>
    <t>🔓 Available</t>
  </si>
  <si>
    <t>H5</t>
  </si>
  <si>
    <t>5 BeenFore Lane</t>
  </si>
  <si>
    <t>H6</t>
  </si>
  <si>
    <t>6 BeenFore Lane</t>
  </si>
  <si>
    <t>Noah &amp; Emma</t>
  </si>
  <si>
    <t>NPC-005, NPC-006</t>
  </si>
  <si>
    <t>H7</t>
  </si>
  <si>
    <t>7 BeenFore Lane</t>
  </si>
  <si>
    <t>James &amp; Olivia</t>
  </si>
  <si>
    <t>NPC-007, NPC-008</t>
  </si>
  <si>
    <t>H8</t>
  </si>
  <si>
    <t>8 BeenFore Lane</t>
  </si>
  <si>
    <t>🏠 A7DO</t>
  </si>
  <si>
    <t>🏠 HOME</t>
  </si>
  <si>
    <t>Primary Organism</t>
  </si>
  <si>
    <t>H9</t>
  </si>
  <si>
    <t>9 BeenFore Lane</t>
  </si>
  <si>
    <t>H10</t>
  </si>
  <si>
    <t>10 BeenFore Lane</t>
  </si>
  <si>
    <t>🏠 STANDARD HOUSE LAYOUT (Each House)</t>
  </si>
  <si>
    <t>Room</t>
  </si>
  <si>
    <t>Size (m²)</t>
  </si>
  <si>
    <t>Living Room</t>
  </si>
  <si>
    <t>Social interaction</t>
  </si>
  <si>
    <t>Kitchen</t>
  </si>
  <si>
    <t>Food preparation</t>
  </si>
  <si>
    <t>Bedroom 1</t>
  </si>
  <si>
    <t>Sleep (Adults)</t>
  </si>
  <si>
    <t>Rest/Sleep</t>
  </si>
  <si>
    <t>Bedroom 2</t>
  </si>
  <si>
    <t>Sleep (Children)</t>
  </si>
  <si>
    <t>Bathroom</t>
  </si>
  <si>
    <t>Hygiene</t>
  </si>
  <si>
    <t>Self-care</t>
  </si>
  <si>
    <t>Garden</t>
  </si>
  <si>
    <t>Outdoor activities</t>
  </si>
  <si>
    <t>Recreation</t>
  </si>
  <si>
    <t>90 m² per house</t>
  </si>
  <si>
    <t>🗺️ CITY ZONE PLANNING</t>
  </si>
  <si>
    <t>Zone</t>
  </si>
  <si>
    <t>Location</t>
  </si>
  <si>
    <t>Current Use</t>
  </si>
  <si>
    <t>Future Use</t>
  </si>
  <si>
    <t>Zone A</t>
  </si>
  <si>
    <t>Northwest</t>
  </si>
  <si>
    <t>(500-1000, 1000-1500)</t>
  </si>
  <si>
    <t>Empty</t>
  </si>
  <si>
    <t>🏫 BeenFore School</t>
  </si>
  <si>
    <t>⏳ Planned</t>
  </si>
  <si>
    <t>Zone B</t>
  </si>
  <si>
    <t>Northeast</t>
  </si>
  <si>
    <t>(1000-1500, 1000-1500)</t>
  </si>
  <si>
    <t>🏪 BeenFore Shops</t>
  </si>
  <si>
    <t>Zone C</t>
  </si>
  <si>
    <t>Southeast</t>
  </si>
  <si>
    <t>(1000-1500, 500-1000)</t>
  </si>
  <si>
    <t>Residential</t>
  </si>
  <si>
    <t>🏘️ BeenFore Lane</t>
  </si>
  <si>
    <t>✅ Built</t>
  </si>
  <si>
    <t>Complete</t>
  </si>
  <si>
    <t>Zone D</t>
  </si>
  <si>
    <t>Southwest</t>
  </si>
  <si>
    <t>(500-1000, 500-1000)</t>
  </si>
  <si>
    <t>🌳 BeenFore Park</t>
  </si>
  <si>
    <t>👥 NPC HOUSING ASSIGNMENTS</t>
  </si>
  <si>
    <t>Adult Male</t>
  </si>
  <si>
    <t>🟢 Resident</t>
  </si>
  <si>
    <t>Adult Female</t>
  </si>
  <si>
    <t>Teen Male</t>
  </si>
  <si>
    <t>Teen Female</t>
  </si>
  <si>
    <t>Child Male</t>
  </si>
  <si>
    <t>Child Female</t>
  </si>
  <si>
    <t>Elder Male</t>
  </si>
  <si>
    <t>Elder Female</t>
  </si>
  <si>
    <t>Primary</t>
  </si>
  <si>
    <t>📊 CITY DASHBOARD</t>
  </si>
  <si>
    <t>Total Buildings</t>
  </si>
  <si>
    <t>Total Roads</t>
  </si>
  <si>
    <t>Total Houses</t>
  </si>
  <si>
    <t>Road Length</t>
  </si>
  <si>
    <t>2000 m</t>
  </si>
  <si>
    <t>Occupied Houses</t>
  </si>
  <si>
    <t>Roundabouts</t>
  </si>
  <si>
    <t>Available Houses</t>
  </si>
  <si>
    <t>Total Population</t>
  </si>
  <si>
    <t>Zones Planned</t>
  </si>
  <si>
    <t>Housing Capacity</t>
  </si>
  <si>
    <t>Zones Built</t>
  </si>
  <si>
    <t>Occupancy Rate</t>
  </si>
  <si>
    <t>City Progress</t>
  </si>
  <si>
    <t>🔗 WORLD SYSTEM CONNECTIONS</t>
  </si>
  <si>
    <t>Link Type</t>
  </si>
  <si>
    <t>Week/Tick</t>
  </si>
  <si>
    <t>Time sync</t>
  </si>
  <si>
    <t>Spatial registry</t>
  </si>
  <si>
    <t>Physics</t>
  </si>
  <si>
    <t>Collision detection</t>
  </si>
  <si>
    <t>Resident tracking</t>
  </si>
  <si>
    <t>Resource cycles</t>
  </si>
  <si>
    <t>Word Code</t>
  </si>
  <si>
    <t>Word</t>
  </si>
  <si>
    <t>Pronunciation</t>
  </si>
  <si>
    <t>Example Sentence</t>
  </si>
  <si>
    <t>Vibration/Tone</t>
  </si>
  <si>
    <t>Typical Learning Path</t>
  </si>
  <si>
    <t>Digital Twin Node</t>
  </si>
  <si>
    <t>Dialogue Settings</t>
  </si>
  <si>
    <t>Mastery Week</t>
  </si>
  <si>
    <t>Mastery %</t>
  </si>
  <si>
    <t>Emotion Tag</t>
  </si>
  <si>
    <t>Frequency Rank</t>
  </si>
  <si>
    <t>LANG_APPLE</t>
  </si>
  <si>
    <t>apple</t>
  </si>
  <si>
    <t>Noun</t>
  </si>
  <si>
    <t>/ˈæpəl/</t>
  </si>
  <si>
    <t>I ate an apple today.</t>
  </si>
  <si>
    <t>Soft, rising</t>
  </si>
  <si>
    <t>Caregiver, food</t>
  </si>
  <si>
    <t>apple_node</t>
  </si>
  <si>
    <t>Normal</t>
  </si>
  <si>
    <t>FOOD_RECOGNITION</t>
  </si>
  <si>
    <t>Comfort</t>
  </si>
  <si>
    <t>LANG_RUN</t>
  </si>
  <si>
    <t>run</t>
  </si>
  <si>
    <t>Verb</t>
  </si>
  <si>
    <t>/rʌn/</t>
  </si>
  <si>
    <t>They run very fast.</t>
  </si>
  <si>
    <t>Quick, energetic</t>
  </si>
  <si>
    <t>Playground, movement</t>
  </si>
  <si>
    <t>run_node</t>
  </si>
  <si>
    <t>Energetic</t>
  </si>
  <si>
    <t>MOTOR_ACTION</t>
  </si>
  <si>
    <t>Excitement</t>
  </si>
  <si>
    <t>LANG_HAPPY</t>
  </si>
  <si>
    <t>happy</t>
  </si>
  <si>
    <t>Adjective</t>
  </si>
  <si>
    <t>/ˈhæpi/</t>
  </si>
  <si>
    <t>She feels happy now.</t>
  </si>
  <si>
    <t>Bright, high</t>
  </si>
  <si>
    <t>Social, emotion</t>
  </si>
  <si>
    <t>happy_node</t>
  </si>
  <si>
    <t>Cheerful</t>
  </si>
  <si>
    <t>EMOTION_STATE</t>
  </si>
  <si>
    <t>LANG_WATER</t>
  </si>
  <si>
    <t>water</t>
  </si>
  <si>
    <t>/ˈwɔːtər/</t>
  </si>
  <si>
    <t>Can I have some water?</t>
  </si>
  <si>
    <t>Fluid, calm</t>
  </si>
  <si>
    <t>Bath, kitchen</t>
  </si>
  <si>
    <t>water_node</t>
  </si>
  <si>
    <t>BASIC_NEED</t>
  </si>
  <si>
    <t>LANG_BLUE</t>
  </si>
  <si>
    <t>blue</t>
  </si>
  <si>
    <t>/bluː/</t>
  </si>
  <si>
    <t>The sky is blue.</t>
  </si>
  <si>
    <t>Cool, steady</t>
  </si>
  <si>
    <t>Visual, outdoors</t>
  </si>
  <si>
    <t>blue_node</t>
  </si>
  <si>
    <t>COLOR_VISUAL</t>
  </si>
  <si>
    <t>LANG_SLEEP</t>
  </si>
  <si>
    <t>sleep</t>
  </si>
  <si>
    <t>/sliːp/</t>
  </si>
  <si>
    <t>Time to sleep.</t>
  </si>
  <si>
    <t>Low, soothing</t>
  </si>
  <si>
    <t>Bedtime, routine</t>
  </si>
  <si>
    <t>sleep_node</t>
  </si>
  <si>
    <t>Soothing</t>
  </si>
  <si>
    <t>ROUTINE_ACTION</t>
  </si>
  <si>
    <t>Peace</t>
  </si>
  <si>
    <t>LANG_DOG</t>
  </si>
  <si>
    <t>dog</t>
  </si>
  <si>
    <t>/dɒɡ/</t>
  </si>
  <si>
    <t>The dog barked loudly.</t>
  </si>
  <si>
    <t>Playful, sharp</t>
  </si>
  <si>
    <t>Pet, animal</t>
  </si>
  <si>
    <t>dog_node</t>
  </si>
  <si>
    <t>ANIMAL_RECOGNITION</t>
  </si>
  <si>
    <t>LANG_LEARN</t>
  </si>
  <si>
    <t>learn</t>
  </si>
  <si>
    <t>/lɜːn/</t>
  </si>
  <si>
    <t>We learn new things.</t>
  </si>
  <si>
    <t>Curious, rising</t>
  </si>
  <si>
    <t>School, experience</t>
  </si>
  <si>
    <t>learn_node</t>
  </si>
  <si>
    <t>META_COGNITION</t>
  </si>
  <si>
    <t>Curiosity</t>
  </si>
  <si>
    <t>LANG_FRIEND</t>
  </si>
  <si>
    <t>friend</t>
  </si>
  <si>
    <t>/frɛnd/</t>
  </si>
  <si>
    <t>My friend is kind.</t>
  </si>
  <si>
    <t>Warm, gentle</t>
  </si>
  <si>
    <t>Social, peer</t>
  </si>
  <si>
    <t>friend_node</t>
  </si>
  <si>
    <t>Friendly</t>
  </si>
  <si>
    <t>SOCIAL_BOND</t>
  </si>
  <si>
    <t>Warmth</t>
  </si>
  <si>
    <t>LANG_MUSIC</t>
  </si>
  <si>
    <t>music</t>
  </si>
  <si>
    <t>/ˈmjuːzɪk/</t>
  </si>
  <si>
    <t>Music is playing.</t>
  </si>
  <si>
    <t>Rhythmic, lively</t>
  </si>
  <si>
    <t>Home, celebration</t>
  </si>
  <si>
    <t>music_node</t>
  </si>
  <si>
    <t>AUDITORY_PATTERN</t>
  </si>
  <si>
    <t>⚙️ A7DO UNIFIED MATHEMATICAL FRAMEWORK</t>
  </si>
  <si>
    <t>Equation ID</t>
  </si>
  <si>
    <t>System Name</t>
  </si>
  <si>
    <t>Primary Formula</t>
  </si>
  <si>
    <t>Secondary Formula</t>
  </si>
  <si>
    <t>Variables</t>
  </si>
  <si>
    <t>Parameter Range</t>
  </si>
  <si>
    <t>Linked Engine Sheet</t>
  </si>
  <si>
    <t>Activation Phase</t>
  </si>
  <si>
    <t>EQ_DNA_01</t>
  </si>
  <si>
    <t>Core Engine</t>
  </si>
  <si>
    <t>D(t+1) = D(t) + α·ActivationRate + β·GrowthFactor</t>
  </si>
  <si>
    <t>Phase(t+1) = Phase(t) + γ·MaturityIndex</t>
  </si>
  <si>
    <t>D, Phase, α, β, γ</t>
  </si>
  <si>
    <t>α,β,γ: 0.01–0.1</t>
  </si>
  <si>
    <t>Backbone developmental progression</t>
  </si>
  <si>
    <t>EQ_ANAT_02</t>
  </si>
  <si>
    <t>G(t+1) = G(t) + δ·CellDivisionRate + ε·NutrientFlow</t>
  </si>
  <si>
    <t>V(t+1) = V(t) + ζ·OxygenExchange − η·WasteRate</t>
  </si>
  <si>
    <t>G, V, δ, ε, ζ, η</t>
  </si>
  <si>
    <t>δ,ε,ζ: 0.1–1.0</t>
  </si>
  <si>
    <t>Organ/bone/tissue expansion</t>
  </si>
  <si>
    <t>EQ_NEUR_03</t>
  </si>
  <si>
    <t>Neural Control System</t>
  </si>
  <si>
    <t>N(t+1) = N(t) + θ·SynapseDensity + ι·NeuralGain</t>
  </si>
  <si>
    <t>S(t+1) = κ·InputSignal − λ·NoiseLevel</t>
  </si>
  <si>
    <t>N, S, θ, ι, κ, λ</t>
  </si>
  <si>
    <t>θ,ι,κ: 0.001–0.05</t>
  </si>
  <si>
    <t>Synaptic growth &amp; signals</t>
  </si>
  <si>
    <t>EQ_CIRC_04</t>
  </si>
  <si>
    <t>Circulatory Integration</t>
  </si>
  <si>
    <t>O(t+1) = O(t) + μ·HeartbeatRate·O₂Level</t>
  </si>
  <si>
    <t>E(t+1) = E(t) + ν·BloodFlow − ξ·MetabolicDrain</t>
  </si>
  <si>
    <t>O, E, μ, ν, ξ</t>
  </si>
  <si>
    <t>μ,ν,ξ: 0.1–0.5</t>
  </si>
  <si>
    <t>Oxygen/nutrient equilibrium</t>
  </si>
  <si>
    <t>EQ_DIGE_05</t>
  </si>
  <si>
    <t>Digestive &amp; Energy System</t>
  </si>
  <si>
    <t>A(t+1) = A(t) + π·NutrientIntake − ρ·ActivityLoad</t>
  </si>
  <si>
    <t>M(t+1) = M(t) + σ·(RecoveryRate − DrainRate)</t>
  </si>
  <si>
    <t>A, M, π, ρ, σ</t>
  </si>
  <si>
    <t>π,ρ,σ: 0.05–0.2</t>
  </si>
  <si>
    <t>ATP conversion &amp; metabolism</t>
  </si>
  <si>
    <t>EQ_SENS_06</t>
  </si>
  <si>
    <t>I(t+1) = τ·(Touch + Smell + Sound + Light)</t>
  </si>
  <si>
    <t>P(t+1) = υ·I(t)·AttentionWeight</t>
  </si>
  <si>
    <t>I, P, τ, υ</t>
  </si>
  <si>
    <t>τ,υ: 0.1–0.5</t>
  </si>
  <si>
    <t>Stimuli → neural signals</t>
  </si>
  <si>
    <t>EQ_EMOT_07</t>
  </si>
  <si>
    <t>R(t+1) = R(t) + φ·(RewardSignal − PunishmentSignal)</t>
  </si>
  <si>
    <t>H(t+1) = H(t) + χ·(Dopamine + Serotonin − Cortisol)</t>
  </si>
  <si>
    <t>R, H, φ, χ</t>
  </si>
  <si>
    <t>φ,χ: 0.05–0.2</t>
  </si>
  <si>
    <t>Pre-Birth Integration</t>
  </si>
  <si>
    <t>Hormones → motivation</t>
  </si>
  <si>
    <t>EQ_PRED_08</t>
  </si>
  <si>
    <t>Predictive Simulation Kernel</t>
  </si>
  <si>
    <t>P(t+1) = P(t) + ψ·(ExpectedState − ActualState)</t>
  </si>
  <si>
    <t>E(t+1) = E(t) − ω·PredictionError</t>
  </si>
  <si>
    <t>P, E, ψ, ω</t>
  </si>
  <si>
    <t>Prediction</t>
  </si>
  <si>
    <t>ψ,ω: 0.01–0.1</t>
  </si>
  <si>
    <t>Active inference &amp; error correction</t>
  </si>
  <si>
    <t>EQ_ATTN_09</t>
  </si>
  <si>
    <t>Attention Control System</t>
  </si>
  <si>
    <t>A(t+1) = A(t) + α₁·StimulusIntensity − β₁·DistractionRate</t>
  </si>
  <si>
    <t>—</t>
  </si>
  <si>
    <t>A, α₁, β₁</t>
  </si>
  <si>
    <t>Attention</t>
  </si>
  <si>
    <t>α₁,β₁: 0.05–0.2</t>
  </si>
  <si>
    <t>Focus &amp; sensory priority</t>
  </si>
  <si>
    <t>EQ_CONS_10</t>
  </si>
  <si>
    <t>Meta-Cognition</t>
  </si>
  <si>
    <t>C(t+1) = Σᵢ(InternalStateᵢ·Feedbackᵢ)</t>
  </si>
  <si>
    <t>S(t+1) = ExpectedSelf − ActualSelf</t>
  </si>
  <si>
    <t>C, S</t>
  </si>
  <si>
    <t>Consciousness</t>
  </si>
  <si>
    <t>Weights: 0.1–1.0</t>
  </si>
  <si>
    <t>Self-awareness integration</t>
  </si>
  <si>
    <t>EQ_WRLD_11</t>
  </si>
  <si>
    <t>World &amp; NPC System</t>
  </si>
  <si>
    <t>W(t+1) = W(t) + α₂·ResourceChange − β₂·ConsumptionRate</t>
  </si>
  <si>
    <t>N(t+1) = N(t) + γ₂·SocialInteraction + δ₂·LearningRate</t>
  </si>
  <si>
    <t>W, N, α₂, β₂, γ₂, δ₂</t>
  </si>
  <si>
    <t>α₂,β₂,γ₂,δ₂: 0.01–0.1</t>
  </si>
  <si>
    <t>Post-Birth</t>
  </si>
  <si>
    <t>Environment &amp; social feedback</t>
  </si>
  <si>
    <t>EQ_LANG_12</t>
  </si>
  <si>
    <t>Language Acquisition</t>
  </si>
  <si>
    <t>L(t+1) = L(t) + λ·ExposureFreq·AttentionWeight</t>
  </si>
  <si>
    <t>V(t+1) = V(t) + μ·ReinforcementSignal·ContextMatch</t>
  </si>
  <si>
    <t>L, V, λ, μ</t>
  </si>
  <si>
    <t>λ,μ: 0.01–0.05</t>
  </si>
  <si>
    <t>Language Learning</t>
  </si>
  <si>
    <t>Vocabulary &amp; grammar acquisition</t>
  </si>
  <si>
    <t>📊 BIOLOGICAL CONSTANTS</t>
  </si>
  <si>
    <t>Constant ID</t>
  </si>
  <si>
    <t>Greek Letter</t>
  </si>
  <si>
    <t>Meaning</t>
  </si>
  <si>
    <t>Typical Min</t>
  </si>
  <si>
    <t>Typical Max</t>
  </si>
  <si>
    <t>Linked Equation</t>
  </si>
  <si>
    <t>CONST_ALPHA</t>
  </si>
  <si>
    <t>α</t>
  </si>
  <si>
    <t>Alpha</t>
  </si>
  <si>
    <t>Growth coefficient (primary)</t>
  </si>
  <si>
    <t>CONST_BETA</t>
  </si>
  <si>
    <t>β</t>
  </si>
  <si>
    <t>Beta</t>
  </si>
  <si>
    <t>Growth coefficient (secondary)</t>
  </si>
  <si>
    <t>CONST_GAMMA</t>
  </si>
  <si>
    <t>γ</t>
  </si>
  <si>
    <t>Gamma</t>
  </si>
  <si>
    <t>Maturity index coefficient</t>
  </si>
  <si>
    <t>CONST_DELTA</t>
  </si>
  <si>
    <t>δ</t>
  </si>
  <si>
    <t>Delta</t>
  </si>
  <si>
    <t>Cell division rate constant</t>
  </si>
  <si>
    <t>CONST_EPSILON</t>
  </si>
  <si>
    <t>ε</t>
  </si>
  <si>
    <t>Epsilon</t>
  </si>
  <si>
    <t>Nutrient flow constant</t>
  </si>
  <si>
    <t>CONST_ZETA</t>
  </si>
  <si>
    <t>ζ</t>
  </si>
  <si>
    <t>Zeta</t>
  </si>
  <si>
    <t>Oxygen exchange constant</t>
  </si>
  <si>
    <t>CONST_ETA</t>
  </si>
  <si>
    <t>η</t>
  </si>
  <si>
    <t>Eta</t>
  </si>
  <si>
    <t>Waste removal rate</t>
  </si>
  <si>
    <t>CONST_THETA</t>
  </si>
  <si>
    <t>θ</t>
  </si>
  <si>
    <t>Theta</t>
  </si>
  <si>
    <t>Synapse density coefficient</t>
  </si>
  <si>
    <t>CONST_IOTA</t>
  </si>
  <si>
    <t>ι</t>
  </si>
  <si>
    <t>Iota</t>
  </si>
  <si>
    <t>Neural gain coefficient</t>
  </si>
  <si>
    <t>CONST_KAPPA</t>
  </si>
  <si>
    <t>κ</t>
  </si>
  <si>
    <t>Kappa</t>
  </si>
  <si>
    <t>Input signal multiplier</t>
  </si>
  <si>
    <t>CONST_LAMBDA</t>
  </si>
  <si>
    <t>λ</t>
  </si>
  <si>
    <t>Lambda</t>
  </si>
  <si>
    <t>Noise attenuation factor</t>
  </si>
  <si>
    <t>CONST_MU</t>
  </si>
  <si>
    <t>μ</t>
  </si>
  <si>
    <t>Mu</t>
  </si>
  <si>
    <t>Heartbeat rate coefficient</t>
  </si>
  <si>
    <t>CONST_NU</t>
  </si>
  <si>
    <t>ν</t>
  </si>
  <si>
    <t>Nu</t>
  </si>
  <si>
    <t>Blood flow coefficient</t>
  </si>
  <si>
    <t>CONST_XI</t>
  </si>
  <si>
    <t>ξ</t>
  </si>
  <si>
    <t>Xi</t>
  </si>
  <si>
    <t>Metabolic drain constant</t>
  </si>
  <si>
    <t>CONST_PI</t>
  </si>
  <si>
    <t>π</t>
  </si>
  <si>
    <t>Pi</t>
  </si>
  <si>
    <t>Nutrient intake multiplier</t>
  </si>
  <si>
    <t>CONST_RHO</t>
  </si>
  <si>
    <t>ρ</t>
  </si>
  <si>
    <t>Rho</t>
  </si>
  <si>
    <t>Activity load factor</t>
  </si>
  <si>
    <t>CONST_SIGMA</t>
  </si>
  <si>
    <t>Sigma</t>
  </si>
  <si>
    <t>Recovery/drain balance</t>
  </si>
  <si>
    <t>CONST_TAU</t>
  </si>
  <si>
    <t>τ</t>
  </si>
  <si>
    <t>Tau</t>
  </si>
  <si>
    <t>Sensory integration coefficient</t>
  </si>
  <si>
    <t>CONST_UPSILON</t>
  </si>
  <si>
    <t>υ</t>
  </si>
  <si>
    <t>Upsilon</t>
  </si>
  <si>
    <t>Attention weight multiplier</t>
  </si>
  <si>
    <t>CONST_PHI</t>
  </si>
  <si>
    <t>φ</t>
  </si>
  <si>
    <t>Phi</t>
  </si>
  <si>
    <t>Reward/punishment balance</t>
  </si>
  <si>
    <t>CONST_CHI</t>
  </si>
  <si>
    <t>χ</t>
  </si>
  <si>
    <t>Chi</t>
  </si>
  <si>
    <t>Neurotransmitter weight</t>
  </si>
  <si>
    <t>CONST_PSI</t>
  </si>
  <si>
    <t>ψ</t>
  </si>
  <si>
    <t>Psi</t>
  </si>
  <si>
    <t>Prediction learning rate</t>
  </si>
  <si>
    <t>CONST_OMEGA</t>
  </si>
  <si>
    <t>Omega</t>
  </si>
  <si>
    <t>Error correction rate</t>
  </si>
  <si>
    <t>🔗 SYSTEM INTEGRATION MATRIX</t>
  </si>
  <si>
    <t>Engine Sheet</t>
  </si>
  <si>
    <t>Primary Equation</t>
  </si>
  <si>
    <t>Secondary Equations</t>
  </si>
  <si>
    <t>Input Sources</t>
  </si>
  <si>
    <t>Output Targets</t>
  </si>
  <si>
    <t>Tick Frequency</t>
  </si>
  <si>
    <t>Integration Status</t>
  </si>
  <si>
    <t>EQ_ANAT_02, EQ_NEUR_03</t>
  </si>
  <si>
    <t>Tick Counter, Nutrient Flow</t>
  </si>
  <si>
    <t>All Growth Engines</t>
  </si>
  <si>
    <t>Every Tick</t>
  </si>
  <si>
    <t>✅ Synchronized</t>
  </si>
  <si>
    <t>EQ_CIRC_04, EQ_DIGE_05</t>
  </si>
  <si>
    <t>DNA Loop, Nutrient Flow</t>
  </si>
  <si>
    <t>Organ Systems, Neural Control</t>
  </si>
  <si>
    <t>Every 100 Ticks</t>
  </si>
  <si>
    <t>EQ_SENS_06, EQ_ATTN_09</t>
  </si>
  <si>
    <t>Sensory Input, DNA Phase</t>
  </si>
  <si>
    <t>Motor Control, Cognition</t>
  </si>
  <si>
    <t>Every 10 Ticks</t>
  </si>
  <si>
    <t>Heart Rate, O₂ Level</t>
  </si>
  <si>
    <t>All Organs, Energy System</t>
  </si>
  <si>
    <t>Nutrient Intake, Activity</t>
  </si>
  <si>
    <t>ATP System, Growth Engine</t>
  </si>
  <si>
    <t>Every 50 Ticks</t>
  </si>
  <si>
    <t>EQ_ATTN_09, EQ_PRED_08</t>
  </si>
  <si>
    <t>External Stimuli</t>
  </si>
  <si>
    <t>Neural Control, Attention</t>
  </si>
  <si>
    <t>Real-time</t>
  </si>
  <si>
    <t>EQ_PRED_08, EQ_CONS_10</t>
  </si>
  <si>
    <t>Reward/Punishment Signals</t>
  </si>
  <si>
    <t>Motivation, Learning</t>
  </si>
  <si>
    <t>Every 20 Ticks</t>
  </si>
  <si>
    <t>EQ_ATTN_09, EQ_CONS_10</t>
  </si>
  <si>
    <t>Expected vs Actual State</t>
  </si>
  <si>
    <t>Error Correction, Learning</t>
  </si>
  <si>
    <t>Every 5 Ticks</t>
  </si>
  <si>
    <t>Stimulus Intensity</t>
  </si>
  <si>
    <t>Sensory Priority, Focus</t>
  </si>
  <si>
    <t>EQ_EMOT_07, EQ_PRED_08</t>
  </si>
  <si>
    <t>All Internal States</t>
  </si>
  <si>
    <t>Self-Model, Identity</t>
  </si>
  <si>
    <t>Environment Data, NPC States</t>
  </si>
  <si>
    <t>Resource Tracking, Social</t>
  </si>
  <si>
    <t>EQ_NEUR_03, EQ_ATTN_09</t>
  </si>
  <si>
    <t>Exposure, Reinforcement</t>
  </si>
  <si>
    <t>Vocabulary, Grammar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</si>
</sst>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\°\C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6"/>
      <color rgb="FFC71585"/>
      <name val="Calibri"/>
      <family val="2"/>
      <scheme val="minor"/>
    </font>
    <font>
      <b/>
      <sz val="14"/>
      <color rgb="FF385723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17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A90D9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D1F2EB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ECB3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D5F0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D7BDE2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BDC3C7"/>
        <bgColor indexed="64"/>
      </patternFill>
    </fill>
    <fill>
      <patternFill patternType="solid">
        <fgColor rgb="FF95A5A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6F3FF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E6FFE6"/>
        <bgColor indexed="64"/>
      </patternFill>
    </fill>
    <fill>
      <patternFill patternType="solid">
        <fgColor rgb="FFFFF0E6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6E6FF"/>
        <bgColor indexed="64"/>
      </patternFill>
    </fill>
    <fill>
      <patternFill patternType="solid">
        <fgColor rgb="FFFFE6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4E6FF"/>
        <bgColor indexed="64"/>
      </patternFill>
    </fill>
    <fill>
      <patternFill patternType="solid">
        <fgColor rgb="FFFFD4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E6F3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E6F0"/>
        <bgColor indexed="64"/>
      </patternFill>
    </fill>
    <fill>
      <patternFill patternType="solid">
        <fgColor rgb="FFE6F0FF"/>
        <bgColor indexed="64"/>
      </patternFill>
    </fill>
    <fill>
      <patternFill patternType="solid">
        <fgColor rgb="FFE6FFF0"/>
        <bgColor indexed="64"/>
      </patternFill>
    </fill>
    <fill>
      <patternFill patternType="solid">
        <fgColor rgb="FFFFF0F5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DDA0D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B3E5FC"/>
        <bgColor indexed="64"/>
      </patternFill>
    </fill>
    <fill>
      <patternFill patternType="solid">
        <fgColor rgb="FF81D4FA"/>
        <bgColor indexed="64"/>
      </patternFill>
    </fill>
    <fill>
      <patternFill patternType="solid">
        <fgColor rgb="FFFFCC80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CE93D8"/>
        <bgColor indexed="64"/>
      </patternFill>
    </fill>
    <fill>
      <patternFill patternType="solid">
        <fgColor rgb="FFB39DDB"/>
        <bgColor indexed="64"/>
      </patternFill>
    </fill>
    <fill>
      <patternFill patternType="solid">
        <fgColor rgb="FF80DEEA"/>
        <bgColor indexed="64"/>
      </patternFill>
    </fill>
    <fill>
      <patternFill patternType="solid">
        <fgColor rgb="FF4DD0E1"/>
        <bgColor indexed="64"/>
      </patternFill>
    </fill>
    <fill>
      <patternFill patternType="solid">
        <fgColor rgb="FF90CAF9"/>
        <bgColor indexed="64"/>
      </patternFill>
    </fill>
    <fill>
      <patternFill patternType="solid">
        <fgColor rgb="FF81C784"/>
        <bgColor indexed="64"/>
      </patternFill>
    </fill>
    <fill>
      <patternFill patternType="solid">
        <fgColor rgb="FF66BB6A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AED581"/>
        <bgColor indexed="64"/>
      </patternFill>
    </fill>
    <fill>
      <patternFill patternType="solid">
        <fgColor rgb="FFC5E1A5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E8D5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6F3"/>
        <bgColor indexed="64"/>
      </patternFill>
    </fill>
    <fill>
      <patternFill patternType="solid">
        <fgColor rgb="FFA9DFBF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rgb="FFD4E6F1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D2B4DE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C9A06A"/>
        <bgColor indexed="64"/>
      </patternFill>
    </fill>
    <fill>
      <patternFill patternType="solid">
        <fgColor rgb="FFFFE066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B3FF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B2DFDB"/>
        <bgColor indexed="64"/>
      </patternFill>
    </fill>
    <fill>
      <patternFill patternType="solid">
        <fgColor rgb="FF4A148C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C2185B"/>
        <bgColor indexed="64"/>
      </patternFill>
    </fill>
    <fill>
      <patternFill patternType="solid">
        <fgColor rgb="FFF8BBD9"/>
        <bgColor indexed="64"/>
      </patternFill>
    </fill>
    <fill>
      <patternFill patternType="solid">
        <fgColor rgb="FF5E35B1"/>
        <bgColor indexed="64"/>
      </patternFill>
    </fill>
    <fill>
      <patternFill patternType="solid">
        <fgColor rgb="FFD1C4E9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CFD8DC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D5D8DC"/>
        <bgColor indexed="64"/>
      </patternFill>
    </fill>
    <fill>
      <patternFill patternType="solid">
        <fgColor rgb="FFF4F6F6"/>
        <bgColor indexed="64"/>
      </patternFill>
    </fill>
    <fill>
      <patternFill patternType="solid">
        <fgColor rgb="FFF8F9F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8F0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0288D1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388E3C"/>
        <bgColor indexed="64"/>
      </patternFill>
    </fill>
    <fill>
      <patternFill patternType="solid">
        <fgColor rgb="FF5D4037"/>
        <bgColor indexed="64"/>
      </patternFill>
    </fill>
    <fill>
      <patternFill patternType="solid">
        <fgColor rgb="FF8D6E63"/>
        <bgColor indexed="64"/>
      </patternFill>
    </fill>
    <fill>
      <patternFill patternType="solid">
        <fgColor rgb="FFEFEBE9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rgb="FFFF7043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F4D03F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D6"/>
        <bgColor indexed="64"/>
      </patternFill>
    </fill>
    <fill>
      <patternFill patternType="solid">
        <fgColor rgb="FFF0E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E0E0FF"/>
        <bgColor indexed="64"/>
      </patternFill>
    </fill>
    <fill>
      <patternFill patternType="solid">
        <fgColor rgb="FFE0FFE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D0F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99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90">
    <xf numFmtId="0" fontId="0" fillId="0" borderId="0" xfId="0"/>
    <xf numFmtId="0" fontId="1" fillId="0" borderId="0" xfId="0" applyFont="1"/>
    <xf numFmtId="0" fontId="4" fillId="0" borderId="0" xfId="0" applyFont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10" fontId="0" fillId="0" borderId="0" xfId="0" applyNumberFormat="1"/>
    <xf numFmtId="164" fontId="0" fillId="0" borderId="0" xfId="0" applyNumberFormat="1"/>
    <xf numFmtId="0" fontId="1" fillId="4" borderId="0" xfId="0" applyFont="1" applyFill="1"/>
    <xf numFmtId="165" fontId="0" fillId="0" borderId="0" xfId="0" applyNumberFormat="1"/>
    <xf numFmtId="0" fontId="5" fillId="5" borderId="0" xfId="0" applyFont="1" applyFill="1"/>
    <xf numFmtId="9" fontId="0" fillId="0" borderId="0" xfId="0" applyNumberFormat="1"/>
    <xf numFmtId="0" fontId="0" fillId="0" borderId="0" xfId="0" applyNumberFormat="1"/>
    <xf numFmtId="2" fontId="0" fillId="0" borderId="0" xfId="0" applyNumberFormat="1"/>
    <xf numFmtId="0" fontId="6" fillId="0" borderId="0" xfId="0" applyFont="1"/>
    <xf numFmtId="0" fontId="1" fillId="0" borderId="0" xfId="0" applyFont="1" applyBorder="1"/>
    <xf numFmtId="0" fontId="0" fillId="0" borderId="0" xfId="0" applyBorder="1"/>
    <xf numFmtId="10" fontId="0" fillId="0" borderId="0" xfId="0" applyNumberFormat="1" applyBorder="1"/>
    <xf numFmtId="0" fontId="0" fillId="0" borderId="1" xfId="0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5" fillId="6" borderId="0" xfId="0" applyFont="1" applyFill="1"/>
    <xf numFmtId="0" fontId="5" fillId="8" borderId="0" xfId="0" applyFont="1" applyFill="1"/>
    <xf numFmtId="0" fontId="0" fillId="9" borderId="0" xfId="0" applyFill="1"/>
    <xf numFmtId="9" fontId="0" fillId="9" borderId="0" xfId="0" applyNumberFormat="1" applyFill="1"/>
    <xf numFmtId="0" fontId="0" fillId="10" borderId="0" xfId="0" applyFill="1"/>
    <xf numFmtId="9" fontId="0" fillId="10" borderId="0" xfId="0" applyNumberFormat="1" applyFill="1"/>
    <xf numFmtId="0" fontId="0" fillId="11" borderId="0" xfId="0" applyFill="1"/>
    <xf numFmtId="9" fontId="0" fillId="11" borderId="0" xfId="0" applyNumberFormat="1" applyFill="1"/>
    <xf numFmtId="0" fontId="0" fillId="12" borderId="0" xfId="0" applyFill="1"/>
    <xf numFmtId="9" fontId="0" fillId="12" borderId="0" xfId="0" applyNumberFormat="1" applyFill="1"/>
    <xf numFmtId="0" fontId="0" fillId="13" borderId="0" xfId="0" applyFill="1"/>
    <xf numFmtId="9" fontId="0" fillId="13" borderId="0" xfId="0" applyNumberFormat="1" applyFill="1"/>
    <xf numFmtId="0" fontId="0" fillId="14" borderId="0" xfId="0" applyFill="1"/>
    <xf numFmtId="9" fontId="0" fillId="14" borderId="0" xfId="0" applyNumberFormat="1" applyFill="1"/>
    <xf numFmtId="0" fontId="5" fillId="16" borderId="0" xfId="0" applyFont="1" applyFill="1"/>
    <xf numFmtId="0" fontId="9" fillId="0" borderId="0" xfId="0" applyFont="1"/>
    <xf numFmtId="0" fontId="10" fillId="0" borderId="0" xfId="0" applyFont="1"/>
    <xf numFmtId="0" fontId="5" fillId="19" borderId="0" xfId="0" applyFont="1" applyFill="1"/>
    <xf numFmtId="0" fontId="0" fillId="0" borderId="5" xfId="0" applyBorder="1"/>
    <xf numFmtId="0" fontId="1" fillId="0" borderId="5" xfId="0" applyFont="1" applyBorder="1"/>
    <xf numFmtId="9" fontId="0" fillId="0" borderId="0" xfId="0" applyNumberFormat="1" applyBorder="1"/>
    <xf numFmtId="0" fontId="13" fillId="0" borderId="5" xfId="0" applyFont="1" applyBorder="1"/>
    <xf numFmtId="0" fontId="12" fillId="0" borderId="6" xfId="0" applyFont="1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20" borderId="0" xfId="0" applyFont="1" applyFill="1" applyBorder="1"/>
    <xf numFmtId="0" fontId="0" fillId="20" borderId="3" xfId="0" applyFill="1" applyBorder="1"/>
    <xf numFmtId="0" fontId="5" fillId="21" borderId="0" xfId="0" applyFont="1" applyFill="1"/>
    <xf numFmtId="0" fontId="6" fillId="22" borderId="0" xfId="0" applyFont="1" applyFill="1"/>
    <xf numFmtId="0" fontId="6" fillId="23" borderId="0" xfId="0" applyFont="1" applyFill="1"/>
    <xf numFmtId="0" fontId="6" fillId="24" borderId="0" xfId="0" applyFont="1" applyFill="1"/>
    <xf numFmtId="0" fontId="6" fillId="25" borderId="0" xfId="0" applyFont="1" applyFill="1"/>
    <xf numFmtId="0" fontId="0" fillId="27" borderId="0" xfId="0" applyFill="1"/>
    <xf numFmtId="9" fontId="0" fillId="27" borderId="0" xfId="0" applyNumberFormat="1" applyFill="1"/>
    <xf numFmtId="2" fontId="0" fillId="27" borderId="0" xfId="0" applyNumberFormat="1" applyFill="1"/>
    <xf numFmtId="0" fontId="0" fillId="28" borderId="0" xfId="0" applyFill="1"/>
    <xf numFmtId="9" fontId="0" fillId="28" borderId="0" xfId="0" applyNumberFormat="1" applyFill="1"/>
    <xf numFmtId="2" fontId="0" fillId="28" borderId="0" xfId="0" applyNumberFormat="1" applyFill="1"/>
    <xf numFmtId="0" fontId="0" fillId="6" borderId="0" xfId="0" applyFill="1"/>
    <xf numFmtId="9" fontId="0" fillId="6" borderId="0" xfId="0" applyNumberFormat="1" applyFill="1"/>
    <xf numFmtId="2" fontId="0" fillId="6" borderId="0" xfId="0" applyNumberFormat="1" applyFill="1"/>
    <xf numFmtId="0" fontId="0" fillId="20" borderId="0" xfId="0" applyFill="1"/>
    <xf numFmtId="9" fontId="0" fillId="20" borderId="0" xfId="0" applyNumberFormat="1" applyFill="1"/>
    <xf numFmtId="2" fontId="0" fillId="20" borderId="0" xfId="0" applyNumberFormat="1" applyFill="1"/>
    <xf numFmtId="9" fontId="0" fillId="3" borderId="0" xfId="0" applyNumberFormat="1" applyFill="1"/>
    <xf numFmtId="2" fontId="0" fillId="3" borderId="0" xfId="0" applyNumberFormat="1" applyFill="1"/>
    <xf numFmtId="0" fontId="0" fillId="29" borderId="0" xfId="0" applyFill="1"/>
    <xf numFmtId="9" fontId="0" fillId="29" borderId="0" xfId="0" applyNumberFormat="1" applyFill="1"/>
    <xf numFmtId="2" fontId="0" fillId="29" borderId="0" xfId="0" applyNumberFormat="1" applyFill="1"/>
    <xf numFmtId="0" fontId="1" fillId="30" borderId="0" xfId="0" applyFont="1" applyFill="1"/>
    <xf numFmtId="9" fontId="1" fillId="0" borderId="0" xfId="0" applyNumberFormat="1" applyFont="1"/>
    <xf numFmtId="0" fontId="1" fillId="32" borderId="0" xfId="0" applyFont="1" applyFill="1"/>
    <xf numFmtId="9" fontId="1" fillId="32" borderId="0" xfId="0" applyNumberFormat="1" applyFont="1" applyFill="1"/>
    <xf numFmtId="2" fontId="1" fillId="32" borderId="0" xfId="0" applyNumberFormat="1" applyFont="1" applyFill="1"/>
    <xf numFmtId="0" fontId="1" fillId="33" borderId="0" xfId="0" applyFont="1" applyFill="1"/>
    <xf numFmtId="0" fontId="5" fillId="2" borderId="0" xfId="0" applyFont="1" applyFill="1"/>
    <xf numFmtId="166" fontId="0" fillId="6" borderId="0" xfId="0" applyNumberFormat="1" applyFill="1"/>
    <xf numFmtId="164" fontId="0" fillId="6" borderId="0" xfId="0" applyNumberFormat="1" applyFill="1"/>
    <xf numFmtId="166" fontId="0" fillId="20" borderId="0" xfId="0" applyNumberFormat="1" applyFill="1"/>
    <xf numFmtId="164" fontId="0" fillId="20" borderId="0" xfId="0" applyNumberFormat="1" applyFill="1"/>
    <xf numFmtId="166" fontId="0" fillId="27" borderId="0" xfId="0" applyNumberFormat="1" applyFill="1"/>
    <xf numFmtId="164" fontId="0" fillId="27" borderId="0" xfId="0" applyNumberFormat="1" applyFill="1"/>
    <xf numFmtId="166" fontId="0" fillId="3" borderId="0" xfId="0" applyNumberFormat="1" applyFill="1"/>
    <xf numFmtId="164" fontId="0" fillId="3" borderId="0" xfId="0" applyNumberFormat="1" applyFill="1"/>
    <xf numFmtId="0" fontId="1" fillId="35" borderId="0" xfId="0" applyFont="1" applyFill="1"/>
    <xf numFmtId="0" fontId="1" fillId="6" borderId="0" xfId="0" applyFont="1" applyFill="1"/>
    <xf numFmtId="0" fontId="2" fillId="37" borderId="0" xfId="0" applyFont="1" applyFill="1" applyAlignment="1">
      <alignment horizontal="center"/>
    </xf>
    <xf numFmtId="0" fontId="1" fillId="42" borderId="0" xfId="0" applyFont="1" applyFill="1"/>
    <xf numFmtId="0" fontId="0" fillId="42" borderId="0" xfId="0" applyFill="1"/>
    <xf numFmtId="0" fontId="1" fillId="43" borderId="0" xfId="0" applyFont="1" applyFill="1"/>
    <xf numFmtId="0" fontId="0" fillId="43" borderId="0" xfId="0" applyFill="1"/>
    <xf numFmtId="0" fontId="1" fillId="46" borderId="0" xfId="0" applyFont="1" applyFill="1"/>
    <xf numFmtId="0" fontId="1" fillId="47" borderId="0" xfId="0" applyFont="1" applyFill="1"/>
    <xf numFmtId="9" fontId="0" fillId="47" borderId="0" xfId="0" applyNumberFormat="1" applyFill="1"/>
    <xf numFmtId="0" fontId="0" fillId="47" borderId="0" xfId="0" applyFill="1"/>
    <xf numFmtId="0" fontId="1" fillId="48" borderId="0" xfId="0" applyFont="1" applyFill="1"/>
    <xf numFmtId="9" fontId="0" fillId="48" borderId="0" xfId="0" applyNumberFormat="1" applyFill="1"/>
    <xf numFmtId="0" fontId="0" fillId="48" borderId="0" xfId="0" applyFill="1"/>
    <xf numFmtId="0" fontId="6" fillId="3" borderId="0" xfId="0" applyFont="1" applyFill="1" applyAlignment="1">
      <alignment horizontal="center"/>
    </xf>
    <xf numFmtId="0" fontId="0" fillId="49" borderId="0" xfId="0" applyFill="1"/>
    <xf numFmtId="0" fontId="0" fillId="40" borderId="0" xfId="0" applyFill="1"/>
    <xf numFmtId="0" fontId="1" fillId="40" borderId="0" xfId="0" applyFont="1" applyFill="1"/>
    <xf numFmtId="9" fontId="0" fillId="40" borderId="0" xfId="0" applyNumberFormat="1" applyFill="1"/>
    <xf numFmtId="0" fontId="6" fillId="47" borderId="0" xfId="0" applyFont="1" applyFill="1" applyAlignment="1">
      <alignment horizontal="center"/>
    </xf>
    <xf numFmtId="0" fontId="1" fillId="37" borderId="0" xfId="0" applyFont="1" applyFill="1"/>
    <xf numFmtId="0" fontId="1" fillId="50" borderId="0" xfId="0" applyFont="1" applyFill="1"/>
    <xf numFmtId="9" fontId="2" fillId="42" borderId="0" xfId="0" applyNumberFormat="1" applyFont="1" applyFill="1"/>
    <xf numFmtId="0" fontId="1" fillId="0" borderId="1" xfId="0" applyFont="1" applyBorder="1"/>
    <xf numFmtId="0" fontId="1" fillId="42" borderId="1" xfId="0" applyFont="1" applyFill="1" applyBorder="1"/>
    <xf numFmtId="9" fontId="16" fillId="42" borderId="1" xfId="0" applyNumberFormat="1" applyFont="1" applyFill="1" applyBorder="1"/>
    <xf numFmtId="0" fontId="0" fillId="42" borderId="1" xfId="0" applyFill="1" applyBorder="1"/>
    <xf numFmtId="0" fontId="1" fillId="43" borderId="1" xfId="0" applyFont="1" applyFill="1" applyBorder="1"/>
    <xf numFmtId="9" fontId="16" fillId="43" borderId="1" xfId="0" applyNumberFormat="1" applyFont="1" applyFill="1" applyBorder="1"/>
    <xf numFmtId="0" fontId="0" fillId="43" borderId="1" xfId="0" applyFill="1" applyBorder="1"/>
    <xf numFmtId="0" fontId="6" fillId="53" borderId="0" xfId="0" applyFont="1" applyFill="1" applyAlignment="1">
      <alignment horizontal="center"/>
    </xf>
    <xf numFmtId="0" fontId="0" fillId="39" borderId="0" xfId="0" applyFill="1"/>
    <xf numFmtId="0" fontId="0" fillId="44" borderId="0" xfId="0" applyFill="1"/>
    <xf numFmtId="0" fontId="0" fillId="45" borderId="0" xfId="0" applyFill="1"/>
    <xf numFmtId="0" fontId="0" fillId="41" borderId="0" xfId="0" applyFill="1"/>
    <xf numFmtId="0" fontId="0" fillId="54" borderId="0" xfId="0" applyFill="1"/>
    <xf numFmtId="9" fontId="1" fillId="40" borderId="0" xfId="0" applyNumberFormat="1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0" fillId="22" borderId="0" xfId="0" applyFill="1"/>
    <xf numFmtId="0" fontId="0" fillId="60" borderId="0" xfId="0" applyFill="1"/>
    <xf numFmtId="0" fontId="0" fillId="61" borderId="0" xfId="0" applyFill="1"/>
    <xf numFmtId="0" fontId="0" fillId="25" borderId="0" xfId="0" applyFill="1"/>
    <xf numFmtId="0" fontId="1" fillId="62" borderId="0" xfId="0" applyFont="1" applyFill="1"/>
    <xf numFmtId="0" fontId="2" fillId="22" borderId="0" xfId="0" applyFont="1" applyFill="1"/>
    <xf numFmtId="0" fontId="1" fillId="23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9" fontId="0" fillId="61" borderId="0" xfId="0" applyNumberFormat="1" applyFill="1"/>
    <xf numFmtId="9" fontId="0" fillId="22" borderId="0" xfId="0" applyNumberFormat="1" applyFill="1"/>
    <xf numFmtId="9" fontId="0" fillId="60" borderId="0" xfId="0" applyNumberFormat="1" applyFill="1"/>
    <xf numFmtId="9" fontId="0" fillId="25" borderId="0" xfId="0" applyNumberForma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2" fillId="23" borderId="0" xfId="0" applyFont="1" applyFill="1"/>
    <xf numFmtId="16" fontId="0" fillId="0" borderId="0" xfId="0" applyNumberFormat="1"/>
    <xf numFmtId="0" fontId="1" fillId="73" borderId="0" xfId="0" applyFont="1" applyFill="1"/>
    <xf numFmtId="0" fontId="1" fillId="74" borderId="0" xfId="0" applyFont="1" applyFill="1"/>
    <xf numFmtId="0" fontId="0" fillId="75" borderId="0" xfId="0" applyFill="1"/>
    <xf numFmtId="9" fontId="0" fillId="75" borderId="0" xfId="0" applyNumberForma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80" borderId="0" xfId="0" applyFont="1" applyFill="1"/>
    <xf numFmtId="0" fontId="0" fillId="80" borderId="0" xfId="0" applyFill="1"/>
    <xf numFmtId="0" fontId="1" fillId="81" borderId="0" xfId="0" applyFont="1" applyFill="1"/>
    <xf numFmtId="0" fontId="1" fillId="3" borderId="0" xfId="0" applyFont="1" applyFill="1"/>
    <xf numFmtId="0" fontId="1" fillId="27" borderId="0" xfId="0" applyFont="1" applyFill="1"/>
    <xf numFmtId="0" fontId="1" fillId="20" borderId="0" xfId="0" applyFont="1" applyFill="1"/>
    <xf numFmtId="0" fontId="1" fillId="79" borderId="0" xfId="0" applyFont="1" applyFill="1"/>
    <xf numFmtId="0" fontId="0" fillId="79" borderId="0" xfId="0" applyFill="1"/>
    <xf numFmtId="0" fontId="13" fillId="81" borderId="0" xfId="0" applyFont="1" applyFill="1"/>
    <xf numFmtId="9" fontId="1" fillId="81" borderId="0" xfId="0" applyNumberFormat="1" applyFont="1" applyFill="1"/>
    <xf numFmtId="0" fontId="0" fillId="82" borderId="0" xfId="0" applyFill="1"/>
    <xf numFmtId="0" fontId="1" fillId="83" borderId="0" xfId="0" applyFont="1" applyFill="1"/>
    <xf numFmtId="0" fontId="0" fillId="83" borderId="0" xfId="0" applyFill="1"/>
    <xf numFmtId="0" fontId="1" fillId="12" borderId="0" xfId="0" applyFont="1" applyFill="1"/>
    <xf numFmtId="0" fontId="1" fillId="84" borderId="0" xfId="0" applyFont="1" applyFill="1"/>
    <xf numFmtId="0" fontId="1" fillId="14" borderId="0" xfId="0" applyFont="1" applyFill="1"/>
    <xf numFmtId="0" fontId="1" fillId="85" borderId="0" xfId="0" applyFont="1" applyFill="1"/>
    <xf numFmtId="0" fontId="1" fillId="86" borderId="0" xfId="0" applyFont="1" applyFill="1"/>
    <xf numFmtId="0" fontId="0" fillId="86" borderId="0" xfId="0" applyFill="1"/>
    <xf numFmtId="0" fontId="1" fillId="87" borderId="0" xfId="0" applyFont="1" applyFill="1"/>
    <xf numFmtId="0" fontId="1" fillId="10" borderId="0" xfId="0" applyFont="1" applyFill="1"/>
    <xf numFmtId="0" fontId="1" fillId="88" borderId="0" xfId="0" applyFont="1" applyFill="1"/>
    <xf numFmtId="0" fontId="1" fillId="89" borderId="0" xfId="0" applyFont="1" applyFill="1"/>
    <xf numFmtId="0" fontId="0" fillId="89" borderId="0" xfId="0" applyFill="1"/>
    <xf numFmtId="0" fontId="1" fillId="90" borderId="0" xfId="0" applyFont="1" applyFill="1"/>
    <xf numFmtId="0" fontId="0" fillId="91" borderId="0" xfId="0" applyFill="1"/>
    <xf numFmtId="0" fontId="0" fillId="92" borderId="0" xfId="0" applyFill="1"/>
    <xf numFmtId="0" fontId="4" fillId="10" borderId="0" xfId="0" applyFont="1" applyFill="1"/>
    <xf numFmtId="0" fontId="1" fillId="93" borderId="0" xfId="0" applyFont="1" applyFill="1"/>
    <xf numFmtId="0" fontId="5" fillId="95" borderId="0" xfId="0" applyFont="1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11" fontId="0" fillId="20" borderId="0" xfId="0" applyNumberFormat="1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5" fillId="106" borderId="0" xfId="0" applyFont="1" applyFill="1"/>
    <xf numFmtId="0" fontId="1" fillId="108" borderId="0" xfId="0" applyFont="1" applyFill="1"/>
    <xf numFmtId="0" fontId="1" fillId="112" borderId="0" xfId="0" applyFont="1" applyFill="1"/>
    <xf numFmtId="0" fontId="1" fillId="116" borderId="0" xfId="0" applyFont="1" applyFill="1"/>
    <xf numFmtId="0" fontId="1" fillId="118" borderId="0" xfId="0" applyFont="1" applyFill="1"/>
    <xf numFmtId="0" fontId="1" fillId="120" borderId="0" xfId="0" applyFont="1" applyFill="1"/>
    <xf numFmtId="0" fontId="1" fillId="121" borderId="0" xfId="0" applyFont="1" applyFill="1"/>
    <xf numFmtId="0" fontId="0" fillId="122" borderId="0" xfId="0" applyFill="1"/>
    <xf numFmtId="0" fontId="0" fillId="123" borderId="0" xfId="0" applyFill="1"/>
    <xf numFmtId="0" fontId="1" fillId="92" borderId="0" xfId="0" applyFont="1" applyFill="1"/>
    <xf numFmtId="0" fontId="1" fillId="122" borderId="0" xfId="0" applyFont="1" applyFill="1"/>
    <xf numFmtId="0" fontId="0" fillId="124" borderId="0" xfId="0" applyFill="1"/>
    <xf numFmtId="0" fontId="1" fillId="125" borderId="0" xfId="0" applyFont="1" applyFill="1"/>
    <xf numFmtId="0" fontId="0" fillId="126" borderId="0" xfId="0" applyFill="1"/>
    <xf numFmtId="0" fontId="0" fillId="127" borderId="0" xfId="0" applyFill="1"/>
    <xf numFmtId="0" fontId="1" fillId="9" borderId="0" xfId="0" applyFont="1" applyFill="1"/>
    <xf numFmtId="0" fontId="0" fillId="91" borderId="0" xfId="0" applyFill="1" applyAlignment="1">
      <alignment horizontal="center"/>
    </xf>
    <xf numFmtId="0" fontId="5" fillId="34" borderId="0" xfId="0" applyFont="1" applyFill="1"/>
    <xf numFmtId="0" fontId="0" fillId="128" borderId="0" xfId="0" applyFill="1"/>
    <xf numFmtId="0" fontId="0" fillId="52" borderId="0" xfId="0" applyFill="1"/>
    <xf numFmtId="0" fontId="0" fillId="18" borderId="0" xfId="0" applyFill="1"/>
    <xf numFmtId="0" fontId="1" fillId="128" borderId="0" xfId="0" applyFont="1" applyFill="1"/>
    <xf numFmtId="0" fontId="5" fillId="36" borderId="0" xfId="0" applyFont="1" applyFill="1"/>
    <xf numFmtId="0" fontId="0" fillId="131" borderId="0" xfId="0" applyFill="1"/>
    <xf numFmtId="0" fontId="0" fillId="132" borderId="0" xfId="0" applyFill="1"/>
    <xf numFmtId="0" fontId="3" fillId="105" borderId="0" xfId="0" applyFont="1" applyFill="1" applyAlignment="1">
      <alignment horizontal="center"/>
    </xf>
    <xf numFmtId="0" fontId="0" fillId="133" borderId="0" xfId="0" applyFill="1"/>
    <xf numFmtId="0" fontId="0" fillId="134" borderId="0" xfId="0" applyFill="1"/>
    <xf numFmtId="0" fontId="7" fillId="135" borderId="0" xfId="0" applyFont="1" applyFill="1" applyAlignment="1">
      <alignment horizontal="center"/>
    </xf>
    <xf numFmtId="0" fontId="1" fillId="136" borderId="0" xfId="0" applyFont="1" applyFill="1"/>
    <xf numFmtId="0" fontId="1" fillId="137" borderId="0" xfId="0" applyFont="1" applyFill="1"/>
    <xf numFmtId="3" fontId="0" fillId="0" borderId="0" xfId="0" applyNumberFormat="1"/>
    <xf numFmtId="0" fontId="3" fillId="139" borderId="0" xfId="0" applyFont="1" applyFill="1" applyAlignment="1">
      <alignment horizontal="center"/>
    </xf>
    <xf numFmtId="0" fontId="5" fillId="140" borderId="0" xfId="0" applyFont="1" applyFill="1"/>
    <xf numFmtId="0" fontId="0" fillId="23" borderId="0" xfId="0" applyFill="1"/>
    <xf numFmtId="0" fontId="0" fillId="24" borderId="0" xfId="0" applyFill="1"/>
    <xf numFmtId="0" fontId="0" fillId="108" borderId="0" xfId="0" applyFill="1"/>
    <xf numFmtId="0" fontId="0" fillId="120" borderId="0" xfId="0" applyFill="1"/>
    <xf numFmtId="0" fontId="0" fillId="64" borderId="0" xfId="0" applyFill="1"/>
    <xf numFmtId="0" fontId="5" fillId="142" borderId="0" xfId="0" applyFont="1" applyFill="1"/>
    <xf numFmtId="0" fontId="0" fillId="143" borderId="0" xfId="0" applyFill="1"/>
    <xf numFmtId="0" fontId="1" fillId="144" borderId="0" xfId="0" applyFont="1" applyFill="1"/>
    <xf numFmtId="0" fontId="1" fillId="24" borderId="0" xfId="0" applyFont="1" applyFill="1"/>
    <xf numFmtId="0" fontId="3" fillId="7" borderId="0" xfId="0" applyFont="1" applyFill="1"/>
    <xf numFmtId="0" fontId="3" fillId="146" borderId="0" xfId="0" applyFont="1" applyFill="1"/>
    <xf numFmtId="0" fontId="3" fillId="147" borderId="0" xfId="0" applyFont="1" applyFill="1"/>
    <xf numFmtId="0" fontId="3" fillId="15" borderId="0" xfId="0" applyFont="1" applyFill="1"/>
    <xf numFmtId="0" fontId="3" fillId="148" borderId="0" xfId="0" applyFont="1" applyFill="1"/>
    <xf numFmtId="0" fontId="1" fillId="13" borderId="0" xfId="0" applyFont="1" applyFill="1"/>
    <xf numFmtId="0" fontId="3" fillId="8" borderId="0" xfId="0" applyFont="1" applyFill="1"/>
    <xf numFmtId="0" fontId="1" fillId="149" borderId="0" xfId="0" applyFont="1" applyFill="1"/>
    <xf numFmtId="0" fontId="0" fillId="150" borderId="0" xfId="0" applyFill="1"/>
    <xf numFmtId="0" fontId="0" fillId="151" borderId="0" xfId="0" applyFill="1"/>
    <xf numFmtId="9" fontId="0" fillId="150" borderId="0" xfId="0" applyNumberFormat="1" applyFill="1"/>
    <xf numFmtId="9" fontId="0" fillId="151" borderId="0" xfId="0" applyNumberFormat="1" applyFill="1"/>
    <xf numFmtId="0" fontId="5" fillId="152" borderId="0" xfId="0" applyFont="1" applyFill="1"/>
    <xf numFmtId="9" fontId="0" fillId="97" borderId="0" xfId="0" applyNumberFormat="1" applyFill="1"/>
    <xf numFmtId="0" fontId="5" fillId="130" borderId="0" xfId="0" applyFont="1" applyFill="1"/>
    <xf numFmtId="0" fontId="1" fillId="153" borderId="0" xfId="0" applyFont="1" applyFill="1"/>
    <xf numFmtId="9" fontId="0" fillId="128" borderId="0" xfId="0" applyNumberFormat="1" applyFill="1"/>
    <xf numFmtId="0" fontId="5" fillId="156" borderId="0" xfId="0" applyFont="1" applyFill="1"/>
    <xf numFmtId="0" fontId="0" fillId="157" borderId="0" xfId="0" applyFill="1"/>
    <xf numFmtId="0" fontId="18" fillId="153" borderId="0" xfId="0" applyFont="1" applyFill="1"/>
    <xf numFmtId="0" fontId="5" fillId="158" borderId="0" xfId="0" applyFont="1" applyFill="1"/>
    <xf numFmtId="0" fontId="5" fillId="5" borderId="0" xfId="0" applyFont="1" applyFill="1" applyBorder="1"/>
    <xf numFmtId="0" fontId="0" fillId="39" borderId="0" xfId="0" applyFill="1" applyBorder="1"/>
    <xf numFmtId="0" fontId="0" fillId="40" borderId="0" xfId="0" applyFill="1" applyBorder="1"/>
    <xf numFmtId="0" fontId="0" fillId="44" borderId="0" xfId="0" applyFill="1" applyBorder="1"/>
    <xf numFmtId="0" fontId="0" fillId="154" borderId="0" xfId="0" applyFill="1" applyBorder="1"/>
    <xf numFmtId="0" fontId="0" fillId="155" borderId="1" xfId="0" applyFill="1" applyBorder="1"/>
    <xf numFmtId="0" fontId="5" fillId="95" borderId="0" xfId="0" applyFont="1" applyFill="1" applyBorder="1"/>
    <xf numFmtId="0" fontId="0" fillId="6" borderId="0" xfId="0" applyFill="1" applyBorder="1"/>
    <xf numFmtId="2" fontId="0" fillId="6" borderId="0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5" fillId="152" borderId="0" xfId="0" applyFont="1" applyFill="1" applyBorder="1"/>
    <xf numFmtId="0" fontId="0" fillId="3" borderId="0" xfId="0" applyFill="1" applyBorder="1"/>
    <xf numFmtId="9" fontId="0" fillId="3" borderId="0" xfId="0" applyNumberFormat="1" applyFill="1" applyBorder="1"/>
    <xf numFmtId="1" fontId="0" fillId="3" borderId="0" xfId="0" applyNumberFormat="1" applyFill="1" applyBorder="1"/>
    <xf numFmtId="9" fontId="0" fillId="3" borderId="1" xfId="0" applyNumberFormat="1" applyFill="1" applyBorder="1"/>
    <xf numFmtId="1" fontId="0" fillId="3" borderId="1" xfId="0" applyNumberFormat="1" applyFill="1" applyBorder="1"/>
    <xf numFmtId="0" fontId="5" fillId="130" borderId="0" xfId="0" applyFont="1" applyFill="1" applyBorder="1"/>
    <xf numFmtId="0" fontId="0" fillId="128" borderId="0" xfId="0" applyFill="1" applyBorder="1"/>
    <xf numFmtId="9" fontId="0" fillId="128" borderId="0" xfId="0" applyNumberFormat="1" applyFill="1" applyBorder="1"/>
    <xf numFmtId="0" fontId="0" fillId="128" borderId="1" xfId="0" applyFill="1" applyBorder="1"/>
    <xf numFmtId="9" fontId="0" fillId="128" borderId="1" xfId="0" applyNumberFormat="1" applyFill="1" applyBorder="1"/>
    <xf numFmtId="0" fontId="1" fillId="22" borderId="0" xfId="0" applyFont="1" applyFill="1"/>
    <xf numFmtId="0" fontId="19" fillId="0" borderId="0" xfId="0" applyFont="1"/>
    <xf numFmtId="0" fontId="1" fillId="60" borderId="0" xfId="0" applyFont="1" applyFill="1"/>
    <xf numFmtId="0" fontId="1" fillId="61" borderId="0" xfId="0" applyFont="1" applyFill="1"/>
    <xf numFmtId="0" fontId="1" fillId="25" borderId="0" xfId="0" applyFont="1" applyFill="1"/>
    <xf numFmtId="167" fontId="0" fillId="0" borderId="0" xfId="0" applyNumberFormat="1"/>
    <xf numFmtId="0" fontId="1" fillId="159" borderId="0" xfId="0" applyFont="1" applyFill="1"/>
    <xf numFmtId="0" fontId="1" fillId="75" borderId="0" xfId="0" applyFont="1" applyFill="1"/>
    <xf numFmtId="0" fontId="1" fillId="160" borderId="0" xfId="0" applyFont="1" applyFill="1"/>
    <xf numFmtId="0" fontId="1" fillId="161" borderId="0" xfId="0" applyFont="1" applyFill="1"/>
    <xf numFmtId="0" fontId="1" fillId="162" borderId="0" xfId="0" applyFont="1" applyFill="1"/>
    <xf numFmtId="0" fontId="1" fillId="163" borderId="0" xfId="0" applyFont="1" applyFill="1"/>
    <xf numFmtId="0" fontId="1" fillId="167" borderId="0" xfId="0" applyFont="1" applyFill="1"/>
    <xf numFmtId="0" fontId="1" fillId="168" borderId="0" xfId="0" applyFont="1" applyFill="1"/>
    <xf numFmtId="0" fontId="1" fillId="163" borderId="7" xfId="0" applyFont="1" applyFill="1" applyBorder="1"/>
    <xf numFmtId="0" fontId="1" fillId="163" borderId="6" xfId="0" applyFont="1" applyFill="1" applyBorder="1"/>
    <xf numFmtId="0" fontId="0" fillId="164" borderId="5" xfId="0" applyFill="1" applyBorder="1"/>
    <xf numFmtId="0" fontId="0" fillId="165" borderId="5" xfId="0" applyFill="1" applyBorder="1"/>
    <xf numFmtId="0" fontId="0" fillId="166" borderId="9" xfId="0" applyFill="1" applyBorder="1"/>
    <xf numFmtId="0" fontId="1" fillId="163" borderId="8" xfId="0" applyFont="1" applyFill="1" applyBorder="1"/>
    <xf numFmtId="0" fontId="0" fillId="0" borderId="9" xfId="0" applyBorder="1"/>
    <xf numFmtId="0" fontId="0" fillId="166" borderId="5" xfId="0" applyFill="1" applyBorder="1"/>
    <xf numFmtId="0" fontId="5" fillId="5" borderId="2" xfId="0" applyFont="1" applyFill="1" applyBorder="1"/>
    <xf numFmtId="0" fontId="0" fillId="0" borderId="2" xfId="0" applyBorder="1"/>
    <xf numFmtId="49" fontId="0" fillId="0" borderId="0" xfId="0" applyNumberFormat="1" applyBorder="1"/>
    <xf numFmtId="0" fontId="1" fillId="169" borderId="0" xfId="0" applyFont="1" applyFill="1"/>
    <xf numFmtId="0" fontId="1" fillId="170" borderId="0" xfId="0" applyFont="1" applyFill="1"/>
    <xf numFmtId="0" fontId="1" fillId="157" borderId="0" xfId="0" applyFont="1" applyFill="1"/>
    <xf numFmtId="0" fontId="1" fillId="132" borderId="0" xfId="0" applyFont="1" applyFill="1"/>
    <xf numFmtId="0" fontId="1" fillId="172" borderId="0" xfId="0" applyFont="1" applyFill="1"/>
    <xf numFmtId="0" fontId="5" fillId="174" borderId="0" xfId="0" applyFont="1" applyFill="1"/>
    <xf numFmtId="0" fontId="7" fillId="7" borderId="0" xfId="0" applyFont="1" applyFill="1" applyAlignment="1"/>
    <xf numFmtId="0" fontId="3" fillId="2" borderId="0" xfId="0" applyFont="1" applyFill="1" applyAlignment="1"/>
    <xf numFmtId="0" fontId="8" fillId="15" borderId="0" xfId="0" applyFont="1" applyFill="1" applyAlignment="1"/>
    <xf numFmtId="0" fontId="6" fillId="17" borderId="0" xfId="0" applyFont="1" applyFill="1" applyAlignment="1"/>
    <xf numFmtId="0" fontId="11" fillId="18" borderId="0" xfId="0" applyFont="1" applyFill="1" applyAlignment="1"/>
    <xf numFmtId="0" fontId="0" fillId="0" borderId="0" xfId="0" applyAlignment="1"/>
    <xf numFmtId="0" fontId="4" fillId="3" borderId="0" xfId="0" applyFont="1" applyFill="1" applyAlignment="1"/>
    <xf numFmtId="0" fontId="4" fillId="52" borderId="0" xfId="0" applyFont="1" applyFill="1" applyAlignment="1"/>
    <xf numFmtId="0" fontId="6" fillId="23" borderId="0" xfId="0" applyFont="1" applyFill="1" applyAlignment="1"/>
    <xf numFmtId="0" fontId="14" fillId="20" borderId="0" xfId="0" applyFont="1" applyFill="1" applyAlignment="1"/>
    <xf numFmtId="0" fontId="1" fillId="79" borderId="0" xfId="0" applyFont="1" applyFill="1" applyAlignment="1"/>
    <xf numFmtId="0" fontId="4" fillId="26" borderId="0" xfId="0" applyFont="1" applyFill="1" applyAlignment="1"/>
    <xf numFmtId="9" fontId="1" fillId="0" borderId="0" xfId="0" applyNumberFormat="1" applyFont="1" applyAlignment="1"/>
    <xf numFmtId="0" fontId="1" fillId="0" borderId="0" xfId="0" applyFont="1" applyAlignment="1"/>
    <xf numFmtId="0" fontId="7" fillId="15" borderId="0" xfId="0" applyFont="1" applyFill="1" applyAlignment="1"/>
    <xf numFmtId="0" fontId="7" fillId="31" borderId="0" xfId="0" applyFont="1" applyFill="1" applyAlignment="1"/>
    <xf numFmtId="0" fontId="5" fillId="15" borderId="0" xfId="0" applyFont="1" applyFill="1" applyAlignment="1"/>
    <xf numFmtId="0" fontId="5" fillId="8" borderId="0" xfId="0" applyFont="1" applyFill="1" applyAlignment="1"/>
    <xf numFmtId="0" fontId="7" fillId="2" borderId="0" xfId="0" applyFont="1" applyFill="1" applyAlignment="1"/>
    <xf numFmtId="0" fontId="15" fillId="0" borderId="0" xfId="0" applyFont="1" applyAlignment="1"/>
    <xf numFmtId="0" fontId="8" fillId="34" borderId="0" xfId="0" applyFont="1" applyFill="1" applyAlignment="1"/>
    <xf numFmtId="0" fontId="8" fillId="36" borderId="0" xfId="0" applyFont="1" applyFill="1" applyAlignment="1"/>
    <xf numFmtId="0" fontId="1" fillId="38" borderId="0" xfId="0" applyFont="1" applyFill="1" applyBorder="1" applyAlignment="1"/>
    <xf numFmtId="0" fontId="0" fillId="0" borderId="0" xfId="0" applyBorder="1" applyAlignment="1"/>
    <xf numFmtId="0" fontId="1" fillId="39" borderId="0" xfId="0" applyFont="1" applyFill="1" applyBorder="1" applyAlignment="1"/>
    <xf numFmtId="0" fontId="1" fillId="40" borderId="0" xfId="0" applyFont="1" applyFill="1" applyBorder="1" applyAlignment="1"/>
    <xf numFmtId="0" fontId="1" fillId="41" borderId="0" xfId="0" applyFont="1" applyFill="1" applyBorder="1" applyAlignment="1"/>
    <xf numFmtId="0" fontId="1" fillId="44" borderId="0" xfId="0" applyFont="1" applyFill="1" applyAlignment="1"/>
    <xf numFmtId="0" fontId="1" fillId="45" borderId="0" xfId="0" applyFont="1" applyFill="1" applyAlignment="1"/>
    <xf numFmtId="0" fontId="1" fillId="51" borderId="0" xfId="0" applyFont="1" applyFill="1" applyAlignment="1"/>
    <xf numFmtId="0" fontId="1" fillId="47" borderId="0" xfId="0" applyFont="1" applyFill="1" applyAlignment="1"/>
    <xf numFmtId="0" fontId="2" fillId="17" borderId="0" xfId="0" applyFont="1" applyFill="1" applyAlignment="1"/>
    <xf numFmtId="0" fontId="0" fillId="79" borderId="0" xfId="0" applyFill="1" applyAlignment="1"/>
    <xf numFmtId="0" fontId="2" fillId="79" borderId="0" xfId="0" applyFont="1" applyFill="1" applyAlignment="1"/>
    <xf numFmtId="0" fontId="17" fillId="9" borderId="0" xfId="0" applyFont="1" applyFill="1" applyAlignment="1"/>
    <xf numFmtId="0" fontId="0" fillId="9" borderId="0" xfId="0" applyFill="1" applyAlignment="1"/>
    <xf numFmtId="0" fontId="3" fillId="94" borderId="0" xfId="0" applyFont="1" applyFill="1" applyAlignment="1"/>
    <xf numFmtId="0" fontId="3" fillId="105" borderId="0" xfId="0" applyFont="1" applyFill="1" applyAlignment="1"/>
    <xf numFmtId="0" fontId="5" fillId="107" borderId="0" xfId="0" applyFont="1" applyFill="1" applyAlignment="1"/>
    <xf numFmtId="0" fontId="5" fillId="109" borderId="0" xfId="0" applyFont="1" applyFill="1" applyAlignment="1"/>
    <xf numFmtId="0" fontId="5" fillId="110" borderId="0" xfId="0" applyFont="1" applyFill="1" applyAlignment="1"/>
    <xf numFmtId="0" fontId="5" fillId="111" borderId="0" xfId="0" applyFont="1" applyFill="1" applyAlignment="1"/>
    <xf numFmtId="0" fontId="3" fillId="113" borderId="0" xfId="0" applyFont="1" applyFill="1" applyAlignment="1"/>
    <xf numFmtId="0" fontId="5" fillId="114" borderId="0" xfId="0" applyFont="1" applyFill="1" applyAlignment="1"/>
    <xf numFmtId="0" fontId="5" fillId="115" borderId="0" xfId="0" applyFont="1" applyFill="1" applyAlignment="1"/>
    <xf numFmtId="0" fontId="5" fillId="117" borderId="0" xfId="0" applyFont="1" applyFill="1" applyAlignment="1"/>
    <xf numFmtId="0" fontId="5" fillId="119" borderId="0" xfId="0" applyFont="1" applyFill="1" applyAlignment="1"/>
    <xf numFmtId="0" fontId="0" fillId="7" borderId="0" xfId="0" applyFill="1" applyAlignment="1"/>
    <xf numFmtId="0" fontId="1" fillId="9" borderId="0" xfId="0" applyFont="1" applyFill="1" applyAlignment="1"/>
    <xf numFmtId="0" fontId="1" fillId="14" borderId="0" xfId="0" applyFont="1" applyFill="1" applyAlignment="1"/>
    <xf numFmtId="0" fontId="0" fillId="14" borderId="0" xfId="0" applyFill="1" applyAlignment="1"/>
    <xf numFmtId="0" fontId="7" fillId="141" borderId="0" xfId="0" applyFont="1" applyFill="1" applyAlignment="1"/>
    <xf numFmtId="0" fontId="7" fillId="111" borderId="0" xfId="0" applyFont="1" applyFill="1" applyAlignment="1"/>
    <xf numFmtId="0" fontId="8" fillId="110" borderId="0" xfId="0" applyFont="1" applyFill="1" applyAlignment="1"/>
    <xf numFmtId="0" fontId="5" fillId="145" borderId="0" xfId="0" applyFont="1" applyFill="1" applyAlignment="1"/>
    <xf numFmtId="0" fontId="5" fillId="129" borderId="0" xfId="0" applyFont="1" applyFill="1" applyAlignment="1"/>
    <xf numFmtId="0" fontId="5" fillId="130" borderId="0" xfId="0" applyFont="1" applyFill="1" applyAlignment="1"/>
    <xf numFmtId="0" fontId="1" fillId="20" borderId="0" xfId="0" applyFont="1" applyFill="1" applyAlignment="1"/>
    <xf numFmtId="0" fontId="1" fillId="6" borderId="0" xfId="0" applyFont="1" applyFill="1" applyAlignment="1"/>
    <xf numFmtId="0" fontId="1" fillId="27" borderId="0" xfId="0" applyFont="1" applyFill="1" applyAlignment="1"/>
    <xf numFmtId="0" fontId="5" fillId="2" borderId="0" xfId="0" applyFont="1" applyFill="1" applyAlignment="1"/>
    <xf numFmtId="0" fontId="3" fillId="129" borderId="0" xfId="0" applyFont="1" applyFill="1" applyAlignment="1"/>
    <xf numFmtId="0" fontId="1" fillId="97" borderId="0" xfId="0" applyFont="1" applyFill="1" applyAlignment="1"/>
    <xf numFmtId="0" fontId="8" fillId="114" borderId="0" xfId="0" applyFont="1" applyFill="1" applyAlignment="1"/>
    <xf numFmtId="0" fontId="8" fillId="138" borderId="0" xfId="0" applyFont="1" applyFill="1" applyAlignment="1"/>
    <xf numFmtId="0" fontId="3" fillId="106" borderId="0" xfId="0" applyFont="1" applyFill="1" applyAlignment="1"/>
    <xf numFmtId="0" fontId="3" fillId="5" borderId="0" xfId="0" applyFont="1" applyFill="1" applyAlignment="1"/>
    <xf numFmtId="0" fontId="5" fillId="95" borderId="0" xfId="0" applyFont="1" applyFill="1" applyAlignment="1"/>
    <xf numFmtId="0" fontId="5" fillId="152" borderId="0" xfId="0" applyFont="1" applyFill="1" applyAlignment="1"/>
    <xf numFmtId="0" fontId="5" fillId="156" borderId="0" xfId="0" applyFont="1" applyFill="1" applyAlignment="1"/>
    <xf numFmtId="0" fontId="5" fillId="19" borderId="0" xfId="0" applyFont="1" applyFill="1" applyAlignment="1"/>
    <xf numFmtId="0" fontId="5" fillId="171" borderId="0" xfId="0" applyFont="1" applyFill="1" applyAlignment="1"/>
    <xf numFmtId="0" fontId="7" fillId="173" borderId="0" xfId="0" applyFont="1" applyFill="1" applyAlignment="1"/>
    <xf numFmtId="0" fontId="8" fillId="130" borderId="0" xfId="0" applyFont="1" applyFill="1" applyAlignment="1"/>
  </cellXfs>
  <cellStyles count="1">
    <cellStyle name="Normal" xfId="0" builtinId="0"/>
  </cellStyles>
  <dxfs count="4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9966CC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70AD4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</dxf>
    <dxf>
      <numFmt numFmtId="164" formatCode="0.000"/>
    </dxf>
    <dxf>
      <numFmt numFmtId="166" formatCode="0.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CAF5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C00000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9EB962-A2E5-485A-B327-BC552EA57BFE}" name="Table1" displayName="Table1" ref="A1:F8" totalsRowShown="0" headerRowDxfId="40">
  <autoFilter ref="A1:F8" xr:uid="{289EB962-A2E5-485A-B327-BC552EA57BFE}"/>
  <tableColumns count="6">
    <tableColumn id="1" xr3:uid="{E4E0EFF7-8399-403A-ADD9-28CDC74307C6}" name="Phase"/>
    <tableColumn id="2" xr3:uid="{473AB2AD-DE11-4141-88A8-9893A797CA9E}" name="Weeks"/>
    <tableColumn id="3" xr3:uid="{64DCD762-847E-4B98-82FE-A9ACE22B7385}" name="Biological Focus"/>
    <tableColumn id="4" xr3:uid="{5099CE7E-BFFF-40E0-86BD-7F58C20A4D63}" name="Activation %"/>
    <tableColumn id="5" xr3:uid="{CB2A8E28-B32B-451A-B2AD-7D89E06ABE91}" name="DNA Trigger"/>
    <tableColumn id="6" xr3:uid="{6892A820-29D8-48F1-993D-76F5D8FED969}" name="Next Phase Cond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66852D-49DF-4BF6-90DF-E38D5DDF3F1F}" name="AnatomyGrowthEngine" displayName="AnatomyGrowthEngine" ref="A1:U173" totalsRowShown="0" headerRowDxfId="39">
  <autoFilter ref="A1:U173" xr:uid="{F966852D-49DF-4BF6-90DF-E38D5DDF3F1F}"/>
  <tableColumns count="21">
    <tableColumn id="1" xr3:uid="{70F9CBBA-3261-4A56-9B13-2CDFE99DEEC1}" name="Name"/>
    <tableColumn id="2" xr3:uid="{7C06D1B5-5631-4A97-B013-43CD9B69913C}" name="Category"/>
    <tableColumn id="3" xr3:uid="{DA261AC2-00D9-4889-ACAC-8D8635711B05}" name="DNA Code"/>
    <tableColumn id="4" xr3:uid="{E45FBA08-2252-4E27-A410-CBFC38A3FE2E}" name="Start Week"/>
    <tableColumn id="5" xr3:uid="{C6E242D3-C00F-4EEA-9E12-0F68D07C66B6}" name="End Week"/>
    <tableColumn id="6" xr3:uid="{C0AD4D16-6D8F-4D6E-90A5-4144B0ED8430}" name="Growth Curve"/>
    <tableColumn id="7" xr3:uid="{F3F4D0E7-1E5B-4AA0-9EF5-0BD819A07FB4}" name="Domain"/>
    <tableColumn id="8" xr3:uid="{62A6BD55-FD4A-4802-9F08-A53C2F523973}" name="Current Week" dataDxfId="38">
      <calculatedColumnFormula>'DNA Loop Engine'!B1</calculatedColumnFormula>
    </tableColumn>
    <tableColumn id="9" xr3:uid="{F4800241-FAEA-4EA6-A9DF-4D98162E1F53}" name="Growth Status" dataDxfId="37">
      <calculatedColumnFormula>IF(H2&lt;D2,"⏳ Pending",IF(H2&gt;=E2,"✅ Complete","🔄 Growing"))</calculatedColumnFormula>
    </tableColumn>
    <tableColumn id="10" xr3:uid="{ACB3B5FF-CCD3-45AC-9E56-5D7B1BB3A36F}" name="Activation %" dataDxfId="36">
      <calculatedColumnFormula>IF(H2&lt;D2,0,IF(H2&gt;=E2,1,(H2-D2)/(E2-D2)))</calculatedColumnFormula>
    </tableColumn>
    <tableColumn id="11" xr3:uid="{0D3C22F3-7AA4-4C52-8A95-3CD4E8CB8DC4}" name="Parent" dataDxfId="35"/>
    <tableColumn id="16" xr3:uid="{FC156627-6306-4776-8D65-F45FFE577D66}" name="Local X" dataDxfId="34"/>
    <tableColumn id="17" xr3:uid="{866D09A4-33B3-4E25-8783-7BA44D0CDE5A}" name="Local Y" dataDxfId="33"/>
    <tableColumn id="18" xr3:uid="{E764AF7E-225B-412B-80AE-2324AC17C01D}" name="Local Z" dataDxfId="32"/>
    <tableColumn id="19" xr3:uid="{60A6D5DC-6F27-41EF-8D1F-B7AF2A717E39}" name="Connection Type"/>
    <tableColumn id="20" xr3:uid="{89840504-FB18-415A-8FFB-84C5CB20D234}" name="Dynamic X" dataDxfId="31">
      <calculatedColumnFormula>L2*J2</calculatedColumnFormula>
    </tableColumn>
    <tableColumn id="21" xr3:uid="{3A1C08DF-A870-4154-B4A5-4A1F59465201}" name="Dynamic Y" dataDxfId="30">
      <calculatedColumnFormula>M2*J2</calculatedColumnFormula>
    </tableColumn>
    <tableColumn id="22" xr3:uid="{01BC9D79-926B-48DD-8C7C-66592C667AF6}" name="Dynamic Z" dataDxfId="29">
      <calculatedColumnFormula>N2*J2</calculatedColumnFormula>
    </tableColumn>
    <tableColumn id="23" xr3:uid="{46992281-E6BF-4FAF-8DCB-5A4CB5E6B674}" name="Tension Vector" dataDxfId="28">
      <calculatedColumnFormula>"("&amp;TEXT(P2,"0.00")&amp;", "&amp;TEXT(Q2,"0.00")&amp;", "&amp;TEXT(R2,"0.00")&amp;")"</calculatedColumnFormula>
    </tableColumn>
    <tableColumn id="24" xr3:uid="{5A862A37-B22E-4E22-B4D9-0DC0C6650C58}" name="Tension Magnitude" dataDxfId="27"/>
    <tableColumn id="25" xr3:uid="{9B9163A4-9433-43DD-AE09-2016D79B087E}" name="Tension Status" dataDxfId="26">
      <calculatedColumnFormula>IF(T2&lt;0.5,"🟢 Relaxed",IF(T2&lt;1,"🟡 Normal",IF(T2&lt;1.5,"🟠 Taut","🔴 Stressed")))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D28994-FE10-4A03-BC14-3F2D05B429F2}" name="Table2" displayName="Table2" ref="A1:E8" totalsRowShown="0" headerRowDxfId="25">
  <autoFilter ref="A1:E8" xr:uid="{3FD28994-FE10-4A03-BC14-3F2D05B429F2}"/>
  <tableColumns count="5">
    <tableColumn id="1" xr3:uid="{B0D1C856-C84C-4ADE-A9D6-424589742DB5}" name="an"/>
    <tableColumn id="2" xr3:uid="{5B01B109-3B48-4CA4-A059-AA231CA1D24D}" name="Organ/System"/>
    <tableColumn id="3" xr3:uid="{8A9BC03C-5349-4369-86F9-EE2F3C40D5C0}" name="Activation Event"/>
    <tableColumn id="4" xr3:uid="{D6A2D8AD-7D81-47DE-94B0-513BBA482B63}" name="DNA Code"/>
    <tableColumn id="5" xr3:uid="{9415BA44-543B-4B8E-BC73-CD69975DBA3C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25C584-F4EA-4054-A8A9-E5A09D2C0387}" name="Table3" displayName="Table3" ref="A1:G17" totalsRowShown="0" headerRowDxfId="24">
  <autoFilter ref="A1:G17" xr:uid="{4025C584-F4EA-4054-A8A9-E5A09D2C0387}"/>
  <tableColumns count="7">
    <tableColumn id="1" xr3:uid="{6AA6CF12-ABE7-4C8E-9409-2BE19580FD96}" name="Tick ID"/>
    <tableColumn id="2" xr3:uid="{F01C8B59-5B99-4A0D-AFCB-48D5FC4047C7}" name="Week"/>
    <tableColumn id="3" xr3:uid="{8955146D-C7B5-4EE8-9C5C-FAD37B72BFE7}" name="DNA Phase"/>
    <tableColumn id="4" xr3:uid="{91D09CCC-FEDB-48DF-9B66-360A493F7B56}" name="Growth Factor"/>
    <tableColumn id="5" xr3:uid="{28ACC9A6-E03B-4826-AFC5-641B910137C8}" name="Neural Gain"/>
    <tableColumn id="6" xr3:uid="{52BC25E2-8255-4ECB-B41F-455F75135F3F}" name="Reflex Gain"/>
    <tableColumn id="7" xr3:uid="{D36229C9-F2E3-4724-8FB2-2D66F42D675E}" name="Identity Confid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5EDF0-A4B7-4094-9C8C-1A4876B1BCAA}" name="RespiratoryControl" displayName="RespiratoryControl" ref="A1:L11" totalsRowShown="0" headerRowDxfId="23">
  <autoFilter ref="A1:L11" xr:uid="{23A5EDF0-A4B7-4094-9C8C-1A4876B1BCAA}"/>
  <tableColumns count="12">
    <tableColumn id="1" xr3:uid="{932FD40A-A8E8-47CE-8A58-A20E04D92CDE}" name="Name"/>
    <tableColumn id="2" xr3:uid="{E3DD8F1C-492F-4CD5-B859-D6E88BE11EA0}" name="Controlled Structure"/>
    <tableColumn id="3" xr3:uid="{0986E16E-CA30-42E0-9357-04DAFC50A660}" name="Neural Region"/>
    <tableColumn id="4" xr3:uid="{FBCB61FD-9D85-47B0-8B90-D0042C3DC003}" name="Control Type"/>
    <tableColumn id="5" xr3:uid="{26DF6A46-5807-4F52-9C40-403585969DD2}" name="Signal Pathway"/>
    <tableColumn id="6" xr3:uid="{D761AA04-E889-4403-B340-E38AAF08DC3B}" name="Feedback Source"/>
    <tableColumn id="7" xr3:uid="{146666FA-9F46-4DCC-A88C-5F79F55ED516}" name="Activation Week"/>
    <tableColumn id="8" xr3:uid="{D6AC9D52-A472-47C0-B611-8D20E7C2EEEA}" name="Full Maturity Week"/>
    <tableColumn id="9" xr3:uid="{2A90AFE1-6E21-4260-9F54-6F2F4D2910A9}" name="Domain"/>
    <tableColumn id="10" xr3:uid="{96CFCBF2-AF3A-4DA7-BA7C-C625697C9714}" name="Current Week">
      <calculatedColumnFormula>'DNA Loop Engine'!$B$5</calculatedColumnFormula>
    </tableColumn>
    <tableColumn id="11" xr3:uid="{BC63E59E-2860-4490-8701-1000B3A27B25}" name="Growth Status">
      <calculatedColumnFormula>IF(J2&lt;G2,"⏳ Dormant",IF(J2&gt;=H2,"✅ Mature","🔄 Developing"))</calculatedColumnFormula>
    </tableColumn>
    <tableColumn id="12" xr3:uid="{7C579612-C0DF-44AB-80AA-3D43A4A7128D}" name="Maturity %" dataDxfId="22">
      <calculatedColumnFormula>IF(J2&lt;G2,0,IF(J2&gt;=H2,100%,(J2-G2)/(H2-G2)))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55AD88-9C07-4EA7-98F3-DFE116429241}" name="CirculatorySystem" displayName="CirculatorySystem" ref="A1:R19" totalsRowShown="0" headerRowDxfId="21">
  <autoFilter ref="A1:R19" xr:uid="{7855AD88-9C07-4EA7-98F3-DFE116429241}"/>
  <tableColumns count="18">
    <tableColumn id="1" xr3:uid="{3CE6D240-0172-49B6-845D-BB41B3ED30CB}" name="Name"/>
    <tableColumn id="2" xr3:uid="{B17C4F41-3E33-4052-B738-C879567132D3}" name="Controlled Structure"/>
    <tableColumn id="3" xr3:uid="{09CF7611-1E1F-4379-867C-5F52C8AE741A}" name="Neural Region"/>
    <tableColumn id="4" xr3:uid="{2D0A95C0-F8E7-4F97-8236-60F63F8D266B}" name="Control Type"/>
    <tableColumn id="5" xr3:uid="{9E189A81-162E-4975-88E5-CADE277A9F96}" name="Signal Pathway"/>
    <tableColumn id="6" xr3:uid="{BD2F604F-5154-4167-B3B9-D62C9195A1F7}" name="Feedback Source"/>
    <tableColumn id="7" xr3:uid="{D7480AE4-1366-4E0A-A93F-19615D543F7E}" name="Activation Week"/>
    <tableColumn id="8" xr3:uid="{51B70C99-B448-4B6B-8C3D-2F077154E55A}" name="Full Maturity Week"/>
    <tableColumn id="9" xr3:uid="{9C5029B2-B7BF-432C-AD30-384A54B5E60B}" name="Domain"/>
    <tableColumn id="10" xr3:uid="{B746626D-1880-4AE1-8E61-CF239A81A12F}" name="Current Week">
      <calculatedColumnFormula>'DNA Loop Engine'!$B$5</calculatedColumnFormula>
    </tableColumn>
    <tableColumn id="11" xr3:uid="{FCA7EC1C-0C37-4831-9ACD-0DBF28BB0EEA}" name="Growth Status">
      <calculatedColumnFormula>IF(J2&lt;G2,"⏳ Pending",IF(J2&gt;=H2,"✅ Mature","🔄 Developing"))</calculatedColumnFormula>
    </tableColumn>
    <tableColumn id="12" xr3:uid="{50C11E8A-5691-4643-875C-AF396CBF32DB}" name="Maturity %" dataDxfId="20">
      <calculatedColumnFormula>IF(J2&lt;G2,0%,IF(J2&gt;=H2,100%,(J2-G2)/(H2-G2)))</calculatedColumnFormula>
    </tableColumn>
    <tableColumn id="13" xr3:uid="{DC0673FC-5F09-413E-BC6B-042A79B9B1F2}" name="Local X" dataDxfId="19"/>
    <tableColumn id="14" xr3:uid="{2AD86AC4-1026-4825-BEB6-22F947CCF63B}" name="Local Y" dataDxfId="18"/>
    <tableColumn id="15" xr3:uid="{C6B1BC01-F024-4DE0-B4E3-49687B681C41}" name="Local Z" dataDxfId="17"/>
    <tableColumn id="16" xr3:uid="{C4C203C4-7DF8-4C60-B32D-361191D42E1B}" name="Connection To"/>
    <tableColumn id="17" xr3:uid="{885503E6-4828-4291-8DFF-689277712852}" name="Flow Direction"/>
    <tableColumn id="18" xr3:uid="{B6F3EF49-5392-4D88-9EDC-4515CD33E779}" name="Flow Rate Factor" dataDxfId="16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288E1C-7D38-4B22-9BC7-8B3D4CDE5018}" name="DigestiveControl" displayName="DigestiveControl" ref="A1:R11" totalsRowShown="0" headerRowDxfId="15">
  <autoFilter ref="A1:R11" xr:uid="{82288E1C-7D38-4B22-9BC7-8B3D4CDE5018}"/>
  <tableColumns count="18">
    <tableColumn id="1" xr3:uid="{9BD468A3-7252-46BB-A6EF-F6A08B7F54C3}" name="Name"/>
    <tableColumn id="2" xr3:uid="{025CB0B0-057F-4553-AC7B-D290520B04B5}" name="Controlled Structure"/>
    <tableColumn id="3" xr3:uid="{76FA7908-0F85-4563-99CA-67C7A49EABD6}" name="Neural Region"/>
    <tableColumn id="4" xr3:uid="{526BF435-040E-4CA5-A5C3-8B97BB46D632}" name="Control Type"/>
    <tableColumn id="5" xr3:uid="{D3272147-97CE-4D31-9CDC-7D8B6AC8DFBC}" name="Signal Pathway"/>
    <tableColumn id="6" xr3:uid="{E4A01BBF-D621-49BD-A807-B53CB33D9BBC}" name="Feedback Source"/>
    <tableColumn id="7" xr3:uid="{D33063A8-8C91-4764-B7F7-A1ABBDC4D7B0}" name="Activation Week"/>
    <tableColumn id="8" xr3:uid="{E4B9A7D2-3DD6-4D1C-92E7-0FD49D381AA7}" name="Full Maturity Week"/>
    <tableColumn id="9" xr3:uid="{3A3DB286-81D5-4329-990E-371FEB288953}" name="Domain"/>
    <tableColumn id="10" xr3:uid="{DDB9E49B-7440-47B2-9C60-19EC66BD448D}" name="Current Week">
      <calculatedColumnFormula>'DNA Loop Engine'!$B$5</calculatedColumnFormula>
    </tableColumn>
    <tableColumn id="11" xr3:uid="{97DF91E1-898C-4FE2-8CF6-3D5FF43D8600}" name="Growth Status">
      <calculatedColumnFormula>IF(J2&lt;G2,"⏳ Pending",IF(J2&gt;=H2,"✅ Mature","🔄 Developing"))</calculatedColumnFormula>
    </tableColumn>
    <tableColumn id="12" xr3:uid="{078CF9E6-2278-42C2-AD99-1A9ACD6D2C67}" name="Maturity %" dataDxfId="14">
      <calculatedColumnFormula>IF(J2&lt;G2,0,IF(J2&gt;=H2,1,(J2-G2)/(H2-G2)))</calculatedColumnFormula>
    </tableColumn>
    <tableColumn id="13" xr3:uid="{D32DB588-4EBB-46F2-84EA-D3AC20AD9805}" name="Local X"/>
    <tableColumn id="14" xr3:uid="{07C8B6B4-5FAE-4261-9EFF-523581677E49}" name="Local Y"/>
    <tableColumn id="15" xr3:uid="{6DD6A263-3573-4894-A09E-82442264AEC5}" name="Local Z"/>
    <tableColumn id="16" xr3:uid="{B583FED5-4B05-4445-88B9-C343F761C879}" name="Connection To"/>
    <tableColumn id="17" xr3:uid="{5FC2EED0-5E97-4440-B8D0-4B5573B1807B}" name="Flow Direction"/>
    <tableColumn id="18" xr3:uid="{A05F288B-A4BC-4333-B96E-63F9F275493E}" name="Flow Rate Factor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A1AFB7-04B6-4614-85DD-10444DAE61A5}" name="AdultAnatomyEngine" displayName="AdultAnatomyEngine" ref="A1:M150" totalsRowShown="0" headerRowDxfId="13">
  <autoFilter ref="A1:M150" xr:uid="{C6A1AFB7-04B6-4614-85DD-10444DAE61A5}"/>
  <tableColumns count="13">
    <tableColumn id="1" xr3:uid="{6A2FB2D9-EB59-42A3-9E97-9DCAFFC7C6DB}" name="Name"/>
    <tableColumn id="2" xr3:uid="{F4C045D2-6BE4-499B-ADEC-0297AA9B23FF}" name="Category"/>
    <tableColumn id="3" xr3:uid="{05F221A8-1B0B-46A9-B2EA-B92E102152BF}" name="DNA Code"/>
    <tableColumn id="4" xr3:uid="{B703A176-9E64-48C0-A730-5A91747EEAD9}" name="Domain"/>
    <tableColumn id="5" xr3:uid="{84AB2300-1A7D-4A75-9E06-ABF96DC29DC8}" name="Parent"/>
    <tableColumn id="6" xr3:uid="{F431EE78-79B3-484E-A318-A2F49B1D4C60}" name="Local X" dataDxfId="12"/>
    <tableColumn id="7" xr3:uid="{D149FE72-8BDC-41E7-A99A-F2291E2B2A4F}" name="Local Y" dataDxfId="11"/>
    <tableColumn id="8" xr3:uid="{55D9602F-F2C7-482F-B850-F11F84124DE9}" name="Local Z" dataDxfId="10"/>
    <tableColumn id="9" xr3:uid="{1930346E-1195-4D05-AC29-5681E163AE22}" name="Connection Type"/>
    <tableColumn id="10" xr3:uid="{23E3EA3B-3802-4FE7-B424-9A9FA4B988E8}" name="Size (cm)" dataDxfId="9"/>
    <tableColumn id="11" xr3:uid="{29735494-0D04-41CD-8D77-34974B494789}" name="Mass (kg)" dataDxfId="8"/>
    <tableColumn id="12" xr3:uid="{DA080559-F4B7-4282-A881-F6520DD1FBA0}" name="Status"/>
    <tableColumn id="13" xr3:uid="{7B496587-CB7A-46E7-B90E-8BF873F7D758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FAC27A-0CC6-44B1-8B68-9C3645A63142}" name="LanguageLearning" displayName="LanguageLearning" ref="A1:R11" totalsRowShown="0" headerRowDxfId="7">
  <autoFilter ref="A1:R11" xr:uid="{2DFAC27A-0CC6-44B1-8B68-9C3645A63142}"/>
  <tableColumns count="18">
    <tableColumn id="1" xr3:uid="{C5C182B9-BFA4-4407-A36F-013F3EAC87DD}" name="Word Code"/>
    <tableColumn id="2" xr3:uid="{7EB2ACCC-2454-4EC9-B246-56483960C042}" name="Word"/>
    <tableColumn id="3" xr3:uid="{58C5EAED-F64A-4D6B-9A38-74C973E43356}" name="Category"/>
    <tableColumn id="4" xr3:uid="{2FE3EC5D-D201-470C-9FAC-9C2BBBA06D7F}" name="Pronunciation"/>
    <tableColumn id="5" xr3:uid="{E057EC47-65B7-42D8-B69D-8031BB9319C3}" name="Example Sentence"/>
    <tableColumn id="6" xr3:uid="{F112AA76-AE5F-44CD-9970-FD39902234D3}" name="Vibration/Tone"/>
    <tableColumn id="7" xr3:uid="{FD860BA7-6145-4B6A-ACC6-B00B22686EA1}" name="Typical Learning Path"/>
    <tableColumn id="8" xr3:uid="{E7B8FA02-0562-4271-9A21-8A4EDF31E2D0}" name="Digital Twin Node"/>
    <tableColumn id="9" xr3:uid="{0EC7AA46-F4EB-4F1A-95C7-C63048D3F78D}" name="Dialogue Settings"/>
    <tableColumn id="10" xr3:uid="{F2147C29-6676-4135-8759-574B120B9B30}" name="Domain"/>
    <tableColumn id="11" xr3:uid="{E10BEDFF-31A0-4271-B897-16D53E4BCD0C}" name="Start Week"/>
    <tableColumn id="12" xr3:uid="{FC9693E0-2E58-48EB-BBCE-7208F0C7C6B4}" name="Mastery Week"/>
    <tableColumn id="13" xr3:uid="{6AC24254-C8EB-4BAD-B34A-CEBF585E2D5C}" name="Current Week"/>
    <tableColumn id="14" xr3:uid="{5E6345E4-5D76-4795-AB61-EBB4575797B5}" name="Growth Status"/>
    <tableColumn id="15" xr3:uid="{65DD7BEC-F3FF-4248-BA12-0B36A5FEA47E}" name="Mastery %" dataDxfId="6"/>
    <tableColumn id="16" xr3:uid="{732E11DC-7F72-4575-9959-A9EE90542BC3}" name="Neural Link"/>
    <tableColumn id="17" xr3:uid="{90B7F7FE-0825-4510-BE41-75805852F857}" name="Emotion Tag"/>
    <tableColumn id="18" xr3:uid="{14BC3184-0D32-4599-B147-56AB58D6DA99}" name="Frequency Ran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314DEE7-CF98-4BCD-BF96-58DDDB04705B}" name="EquationSystems" displayName="EquationSystems" ref="A3:L15" totalsRowShown="0" headerRowDxfId="5">
  <autoFilter ref="A3:L15" xr:uid="{4314DEE7-CF98-4BCD-BF96-58DDDB04705B}"/>
  <tableColumns count="12">
    <tableColumn id="1" xr3:uid="{F6A2FC3B-A22A-457D-B67E-783320F95474}" name="Equation ID"/>
    <tableColumn id="2" xr3:uid="{704B0350-179D-46BA-AC0D-66D79B86B41F}" name="System Name"/>
    <tableColumn id="3" xr3:uid="{C5E5CAB8-1CCF-4164-9980-93A4402C48A0}" name="Category"/>
    <tableColumn id="4" xr3:uid="{2B5185E8-A501-47C4-AF99-1C6C41DAEF6C}" name="Primary Formula"/>
    <tableColumn id="5" xr3:uid="{65BDA76E-2296-4C23-BC65-1A6EFD7F83B0}" name="Secondary Formula"/>
    <tableColumn id="6" xr3:uid="{196BEEA4-DDF4-4391-AD72-9E0FA0AFE23C}" name="Variables"/>
    <tableColumn id="7" xr3:uid="{27E7E889-DF38-4415-B03D-52802016684A}" name="Domain"/>
    <tableColumn id="8" xr3:uid="{00E41B1F-D674-46D4-91CB-3E0F00DCADAA}" name="Parameter Range"/>
    <tableColumn id="9" xr3:uid="{9C560956-2015-4D1C-AD34-127FB602B3E3}" name="Linked Engine Sheet"/>
    <tableColumn id="10" xr3:uid="{3B3F7F6A-35C5-4CA6-B5E8-4DC8C65AF9AD}" name="Activation Phase"/>
    <tableColumn id="11" xr3:uid="{4C3276D3-323D-425B-8902-D3A8E2F235AB}" name="Status"/>
    <tableColumn id="12" xr3:uid="{8A089AEA-AF6F-4740-B7ED-E30E152327BD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8074AD2-ABB5-4A0B-9099-8791DEB4813F}" name="BiologicalConstants" displayName="BiologicalConstants" ref="A20:I43" totalsRowShown="0" headerRowDxfId="4">
  <autoFilter ref="A20:I43" xr:uid="{A8074AD2-ABB5-4A0B-9099-8791DEB4813F}"/>
  <tableColumns count="9">
    <tableColumn id="1" xr3:uid="{83FEAF2F-DDBB-4E9B-968C-5F8BCE6D40EC}" name="Constant ID"/>
    <tableColumn id="2" xr3:uid="{D2EED395-8EE0-45CD-963D-2977AEE2B48F}" name="Symbol"/>
    <tableColumn id="3" xr3:uid="{FD1D5141-76B9-48F1-A0CA-3952B0674772}" name="Greek Letter"/>
    <tableColumn id="4" xr3:uid="{E61B9D7A-07BE-418C-A2D4-9162C43D34DC}" name="Meaning"/>
    <tableColumn id="5" xr3:uid="{D06E14AC-4A95-45A5-B970-57A880F34722}" name="Typical Min" dataDxfId="3"/>
    <tableColumn id="6" xr3:uid="{66D68773-B09B-40A9-8509-97CA8B267D50}" name="Typical Max" dataDxfId="2"/>
    <tableColumn id="7" xr3:uid="{2ADA69D9-5831-4AF0-912E-FC55CCFA7CDC}" name="Current Value" dataDxfId="1"/>
    <tableColumn id="8" xr3:uid="{CA4B278E-4FD5-4955-8012-54A012B2EABA}" name="Domain"/>
    <tableColumn id="9" xr3:uid="{6306C3AA-CDB0-4E2A-9508-9D1F7ACD13F0}" name="Linked Equation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78DDF53-3DC4-4C39-8BE0-CAA5C93F184C}" name="SystemIntegration" displayName="SystemIntegration" ref="A48:G60" totalsRowShown="0" headerRowDxfId="0">
  <autoFilter ref="A48:G60" xr:uid="{978DDF53-3DC4-4C39-8BE0-CAA5C93F184C}"/>
  <tableColumns count="7">
    <tableColumn id="1" xr3:uid="{E663736A-F540-4F30-9C93-1CF1FF946019}" name="Engine Sheet"/>
    <tableColumn id="2" xr3:uid="{A9DC1397-B553-4445-9571-57A0591C95AE}" name="Primary Equation"/>
    <tableColumn id="3" xr3:uid="{1BB3500F-CFF9-4A53-A606-FB1B862054D1}" name="Secondary Equations"/>
    <tableColumn id="4" xr3:uid="{ACFA659B-1C94-4A91-9216-666A9867E2D5}" name="Input Sources"/>
    <tableColumn id="5" xr3:uid="{F7D8A772-F7FB-4316-B35B-56908F58D8F1}" name="Output Targets"/>
    <tableColumn id="6" xr3:uid="{4537B46A-B06C-4575-91BC-25B56EB58224}" name="Tick Frequency"/>
    <tableColumn id="7" xr3:uid="{946CB9CA-2B95-4EE0-8894-8200210C151B}" name="Integration 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F24" sqref="F24"/>
    </sheetView>
  </sheetViews>
  <sheetFormatPr defaultRowHeight="15"/>
  <cols>
    <col min="3" max="3" width="18.85546875" bestFit="1" customWidth="1"/>
    <col min="4" max="4" width="14.28515625" bestFit="1" customWidth="1"/>
    <col min="5" max="5" width="14.85546875" bestFit="1" customWidth="1"/>
    <col min="6" max="6" width="22.2851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20E8-D91D-4BD7-A551-689B80554981}">
  <dimension ref="A1:U194"/>
  <sheetViews>
    <sheetView topLeftCell="G158" workbookViewId="0">
      <selection activeCell="C71" sqref="C71"/>
    </sheetView>
  </sheetViews>
  <sheetFormatPr defaultRowHeight="15"/>
  <cols>
    <col min="1" max="1" width="25.85546875" bestFit="1" customWidth="1"/>
    <col min="2" max="2" width="19" bestFit="1" customWidth="1"/>
    <col min="3" max="3" width="17.85546875" bestFit="1" customWidth="1"/>
    <col min="4" max="4" width="13.140625" bestFit="1" customWidth="1"/>
    <col min="5" max="5" width="22.7109375" bestFit="1" customWidth="1"/>
    <col min="6" max="6" width="19.140625" bestFit="1" customWidth="1"/>
    <col min="7" max="7" width="16.42578125" bestFit="1" customWidth="1"/>
    <col min="8" max="8" width="18" bestFit="1" customWidth="1"/>
    <col min="9" max="9" width="16" bestFit="1" customWidth="1"/>
    <col min="10" max="10" width="14.28515625" bestFit="1" customWidth="1"/>
    <col min="11" max="11" width="25.42578125" bestFit="1" customWidth="1"/>
    <col min="12" max="12" width="10.7109375" bestFit="1" customWidth="1"/>
    <col min="13" max="14" width="12.42578125" customWidth="1"/>
    <col min="15" max="15" width="19" customWidth="1"/>
    <col min="16" max="18" width="14.28515625" customWidth="1"/>
  </cols>
  <sheetData>
    <row r="1" spans="1:21">
      <c r="A1" s="10" t="s">
        <v>41</v>
      </c>
      <c r="B1" s="10" t="s">
        <v>42</v>
      </c>
      <c r="C1" s="10" t="s">
        <v>43</v>
      </c>
      <c r="D1" s="10" t="s">
        <v>44</v>
      </c>
      <c r="E1" s="10" t="s">
        <v>45</v>
      </c>
      <c r="F1" s="10" t="s">
        <v>46</v>
      </c>
      <c r="G1" s="10" t="s">
        <v>47</v>
      </c>
      <c r="H1" s="10" t="s">
        <v>48</v>
      </c>
      <c r="I1" s="10" t="s">
        <v>49</v>
      </c>
      <c r="J1" s="10" t="s">
        <v>3</v>
      </c>
      <c r="K1" s="10" t="s">
        <v>50</v>
      </c>
      <c r="L1" s="10" t="s">
        <v>51</v>
      </c>
      <c r="M1" s="10" t="s">
        <v>52</v>
      </c>
      <c r="N1" s="10" t="s">
        <v>53</v>
      </c>
      <c r="O1" s="10" t="s">
        <v>54</v>
      </c>
      <c r="P1" s="10" t="s">
        <v>55</v>
      </c>
      <c r="Q1" s="10" t="s">
        <v>56</v>
      </c>
      <c r="R1" s="10" t="s">
        <v>57</v>
      </c>
      <c r="S1" s="22" t="s">
        <v>58</v>
      </c>
      <c r="T1" s="22" t="s">
        <v>59</v>
      </c>
      <c r="U1" s="22" t="s">
        <v>60</v>
      </c>
    </row>
    <row r="2" spans="1:21">
      <c r="A2" t="s">
        <v>61</v>
      </c>
      <c r="B2" t="s">
        <v>62</v>
      </c>
      <c r="C2" t="s">
        <v>63</v>
      </c>
      <c r="D2">
        <v>4</v>
      </c>
      <c r="E2">
        <v>36</v>
      </c>
      <c r="F2" t="s">
        <v>64</v>
      </c>
      <c r="G2" t="s">
        <v>65</v>
      </c>
      <c r="H2">
        <f>'DNA Loop Engine'!$B$5</f>
        <v>50</v>
      </c>
      <c r="I2" t="str">
        <f t="shared" ref="I2:I33" si="0">IF(H2&lt;D2,"⏳ Pending",IF(H2&gt;=E2,"✅ Complete","🔄 Growing"))</f>
        <v>✅ Complete</v>
      </c>
      <c r="J2" s="11">
        <f t="shared" ref="J2:J33" si="1">IF(H2&lt;D2,0,IF(H2&gt;=E2,1,(H2-D2)/(E2-D2)))</f>
        <v>1</v>
      </c>
      <c r="K2" s="11" t="s">
        <v>66</v>
      </c>
      <c r="L2" s="13">
        <v>0</v>
      </c>
      <c r="M2" s="13">
        <v>0.85</v>
      </c>
      <c r="N2" s="13">
        <v>0.08</v>
      </c>
      <c r="O2" t="s">
        <v>67</v>
      </c>
      <c r="P2" s="7">
        <f t="shared" ref="P2:P65" si="2">L2*J2</f>
        <v>0</v>
      </c>
      <c r="Q2" s="7">
        <f t="shared" ref="Q2:Q65" si="3">M2*J2</f>
        <v>0.85</v>
      </c>
      <c r="R2" s="7">
        <f t="shared" ref="R2:R65" si="4">N2*J2</f>
        <v>0.08</v>
      </c>
      <c r="S2" s="7"/>
      <c r="T2" s="7"/>
      <c r="U2" s="7"/>
    </row>
    <row r="3" spans="1:21">
      <c r="A3" t="s">
        <v>68</v>
      </c>
      <c r="B3" t="s">
        <v>62</v>
      </c>
      <c r="C3" t="s">
        <v>69</v>
      </c>
      <c r="D3">
        <v>4</v>
      </c>
      <c r="E3">
        <v>36</v>
      </c>
      <c r="F3" t="s">
        <v>64</v>
      </c>
      <c r="G3" t="s">
        <v>65</v>
      </c>
      <c r="H3">
        <f>'DNA Loop Engine'!$B$5</f>
        <v>50</v>
      </c>
      <c r="I3" t="str">
        <f t="shared" si="0"/>
        <v>✅ Complete</v>
      </c>
      <c r="J3" s="11">
        <f t="shared" si="1"/>
        <v>1</v>
      </c>
      <c r="K3" s="11" t="s">
        <v>66</v>
      </c>
      <c r="L3" s="13">
        <v>-0.08</v>
      </c>
      <c r="M3" s="13">
        <v>0.88</v>
      </c>
      <c r="N3" s="13">
        <v>0</v>
      </c>
      <c r="O3" t="s">
        <v>67</v>
      </c>
      <c r="P3" s="7">
        <f t="shared" si="2"/>
        <v>-0.08</v>
      </c>
      <c r="Q3" s="7">
        <f t="shared" si="3"/>
        <v>0.88</v>
      </c>
      <c r="R3" s="7">
        <f t="shared" si="4"/>
        <v>0</v>
      </c>
      <c r="S3" s="7"/>
      <c r="T3" s="7"/>
      <c r="U3" s="7"/>
    </row>
    <row r="4" spans="1:21">
      <c r="A4" t="s">
        <v>70</v>
      </c>
      <c r="B4" t="s">
        <v>62</v>
      </c>
      <c r="C4" t="s">
        <v>71</v>
      </c>
      <c r="D4">
        <v>4</v>
      </c>
      <c r="E4">
        <v>36</v>
      </c>
      <c r="F4" t="s">
        <v>64</v>
      </c>
      <c r="G4" t="s">
        <v>65</v>
      </c>
      <c r="H4">
        <f>'DNA Loop Engine'!$B$5</f>
        <v>50</v>
      </c>
      <c r="I4" t="str">
        <f t="shared" si="0"/>
        <v>✅ Complete</v>
      </c>
      <c r="J4" s="11">
        <f t="shared" si="1"/>
        <v>1</v>
      </c>
      <c r="K4" s="11" t="s">
        <v>66</v>
      </c>
      <c r="L4" s="13">
        <v>0.08</v>
      </c>
      <c r="M4" s="13">
        <v>0.88</v>
      </c>
      <c r="N4" s="13">
        <v>0</v>
      </c>
      <c r="O4" t="s">
        <v>67</v>
      </c>
      <c r="P4" s="7">
        <f t="shared" si="2"/>
        <v>0.08</v>
      </c>
      <c r="Q4" s="7">
        <f t="shared" si="3"/>
        <v>0.88</v>
      </c>
      <c r="R4" s="7">
        <f t="shared" si="4"/>
        <v>0</v>
      </c>
      <c r="S4" s="7"/>
      <c r="T4" s="7"/>
      <c r="U4" s="7"/>
    </row>
    <row r="5" spans="1:21">
      <c r="A5" t="s">
        <v>72</v>
      </c>
      <c r="B5" t="s">
        <v>62</v>
      </c>
      <c r="C5" t="s">
        <v>73</v>
      </c>
      <c r="D5">
        <v>4</v>
      </c>
      <c r="E5">
        <v>36</v>
      </c>
      <c r="F5" t="s">
        <v>64</v>
      </c>
      <c r="G5" t="s">
        <v>65</v>
      </c>
      <c r="H5">
        <f>'DNA Loop Engine'!$B$5</f>
        <v>50</v>
      </c>
      <c r="I5" t="str">
        <f t="shared" si="0"/>
        <v>✅ Complete</v>
      </c>
      <c r="J5" s="11">
        <f t="shared" si="1"/>
        <v>1</v>
      </c>
      <c r="K5" s="11" t="s">
        <v>66</v>
      </c>
      <c r="L5" s="13">
        <v>-0.12</v>
      </c>
      <c r="M5" s="13">
        <v>0.82</v>
      </c>
      <c r="N5" s="13">
        <v>-0.02</v>
      </c>
      <c r="O5" t="s">
        <v>67</v>
      </c>
      <c r="P5" s="7">
        <f t="shared" si="2"/>
        <v>-0.12</v>
      </c>
      <c r="Q5" s="7">
        <f t="shared" si="3"/>
        <v>0.82</v>
      </c>
      <c r="R5" s="7">
        <f t="shared" si="4"/>
        <v>-0.02</v>
      </c>
      <c r="S5" s="7"/>
      <c r="T5" s="7"/>
      <c r="U5" s="7"/>
    </row>
    <row r="6" spans="1:21">
      <c r="A6" t="s">
        <v>74</v>
      </c>
      <c r="B6" t="s">
        <v>62</v>
      </c>
      <c r="C6" t="s">
        <v>75</v>
      </c>
      <c r="D6">
        <v>4</v>
      </c>
      <c r="E6">
        <v>36</v>
      </c>
      <c r="F6" t="s">
        <v>64</v>
      </c>
      <c r="G6" t="s">
        <v>65</v>
      </c>
      <c r="H6">
        <f>'DNA Loop Engine'!$B$5</f>
        <v>50</v>
      </c>
      <c r="I6" t="str">
        <f t="shared" si="0"/>
        <v>✅ Complete</v>
      </c>
      <c r="J6" s="11">
        <f t="shared" si="1"/>
        <v>1</v>
      </c>
      <c r="K6" s="11" t="s">
        <v>66</v>
      </c>
      <c r="L6" s="13">
        <v>0.12</v>
      </c>
      <c r="M6" s="13">
        <v>0.82</v>
      </c>
      <c r="N6" s="13">
        <v>-0.02</v>
      </c>
      <c r="O6" t="s">
        <v>67</v>
      </c>
      <c r="P6" s="7">
        <f t="shared" si="2"/>
        <v>0.12</v>
      </c>
      <c r="Q6" s="7">
        <f t="shared" si="3"/>
        <v>0.82</v>
      </c>
      <c r="R6" s="7">
        <f t="shared" si="4"/>
        <v>-0.02</v>
      </c>
      <c r="S6" s="7"/>
      <c r="T6" s="7"/>
      <c r="U6" s="7"/>
    </row>
    <row r="7" spans="1:21">
      <c r="A7" t="s">
        <v>76</v>
      </c>
      <c r="B7" t="s">
        <v>62</v>
      </c>
      <c r="C7" t="s">
        <v>77</v>
      </c>
      <c r="D7">
        <v>4</v>
      </c>
      <c r="E7">
        <v>36</v>
      </c>
      <c r="F7" t="s">
        <v>64</v>
      </c>
      <c r="G7" t="s">
        <v>65</v>
      </c>
      <c r="H7">
        <f>'DNA Loop Engine'!$B$5</f>
        <v>50</v>
      </c>
      <c r="I7" t="str">
        <f t="shared" si="0"/>
        <v>✅ Complete</v>
      </c>
      <c r="J7" s="11">
        <f t="shared" si="1"/>
        <v>1</v>
      </c>
      <c r="K7" s="11" t="s">
        <v>66</v>
      </c>
      <c r="L7" s="13">
        <v>0</v>
      </c>
      <c r="M7" s="13">
        <v>0.8</v>
      </c>
      <c r="N7" s="13">
        <v>-0.08</v>
      </c>
      <c r="O7" t="s">
        <v>67</v>
      </c>
      <c r="P7" s="7">
        <f t="shared" si="2"/>
        <v>0</v>
      </c>
      <c r="Q7" s="7">
        <f t="shared" si="3"/>
        <v>0.8</v>
      </c>
      <c r="R7" s="7">
        <f t="shared" si="4"/>
        <v>-0.08</v>
      </c>
      <c r="S7" s="7"/>
      <c r="T7" s="7"/>
      <c r="U7" s="7"/>
    </row>
    <row r="8" spans="1:21">
      <c r="A8" t="s">
        <v>78</v>
      </c>
      <c r="B8" t="s">
        <v>62</v>
      </c>
      <c r="C8" t="s">
        <v>79</v>
      </c>
      <c r="D8">
        <v>4</v>
      </c>
      <c r="E8">
        <v>36</v>
      </c>
      <c r="F8" t="s">
        <v>64</v>
      </c>
      <c r="G8" t="s">
        <v>65</v>
      </c>
      <c r="H8">
        <f>'DNA Loop Engine'!$B$5</f>
        <v>50</v>
      </c>
      <c r="I8" t="str">
        <f t="shared" si="0"/>
        <v>✅ Complete</v>
      </c>
      <c r="J8" s="11">
        <f t="shared" si="1"/>
        <v>1</v>
      </c>
      <c r="K8" s="11" t="s">
        <v>66</v>
      </c>
      <c r="L8" s="13">
        <v>0</v>
      </c>
      <c r="M8" s="13">
        <v>0.78</v>
      </c>
      <c r="N8" s="13">
        <v>0.02</v>
      </c>
      <c r="O8" t="s">
        <v>67</v>
      </c>
      <c r="P8" s="7">
        <f t="shared" si="2"/>
        <v>0</v>
      </c>
      <c r="Q8" s="7">
        <f t="shared" si="3"/>
        <v>0.78</v>
      </c>
      <c r="R8" s="7">
        <f t="shared" si="4"/>
        <v>0.02</v>
      </c>
      <c r="S8" s="7"/>
      <c r="T8" s="7"/>
      <c r="U8" s="7"/>
    </row>
    <row r="9" spans="1:21">
      <c r="A9" t="s">
        <v>80</v>
      </c>
      <c r="B9" t="s">
        <v>62</v>
      </c>
      <c r="C9" t="s">
        <v>81</v>
      </c>
      <c r="D9">
        <v>4</v>
      </c>
      <c r="E9">
        <v>36</v>
      </c>
      <c r="F9" t="s">
        <v>64</v>
      </c>
      <c r="G9" t="s">
        <v>65</v>
      </c>
      <c r="H9">
        <f>'DNA Loop Engine'!$B$5</f>
        <v>50</v>
      </c>
      <c r="I9" t="str">
        <f t="shared" si="0"/>
        <v>✅ Complete</v>
      </c>
      <c r="J9" s="11">
        <f t="shared" si="1"/>
        <v>1</v>
      </c>
      <c r="K9" s="11" t="s">
        <v>66</v>
      </c>
      <c r="L9" s="13">
        <v>0</v>
      </c>
      <c r="M9" s="13">
        <v>0.8</v>
      </c>
      <c r="N9" s="13">
        <v>0.04</v>
      </c>
      <c r="O9" t="s">
        <v>67</v>
      </c>
      <c r="P9" s="7">
        <f t="shared" si="2"/>
        <v>0</v>
      </c>
      <c r="Q9" s="7">
        <f t="shared" si="3"/>
        <v>0.8</v>
      </c>
      <c r="R9" s="7">
        <f t="shared" si="4"/>
        <v>0.04</v>
      </c>
      <c r="S9" s="7"/>
      <c r="T9" s="7"/>
      <c r="U9" s="7"/>
    </row>
    <row r="10" spans="1:21">
      <c r="A10" t="s">
        <v>82</v>
      </c>
      <c r="B10" t="s">
        <v>62</v>
      </c>
      <c r="C10" t="s">
        <v>83</v>
      </c>
      <c r="D10">
        <v>5</v>
      </c>
      <c r="E10">
        <v>20</v>
      </c>
      <c r="F10" t="s">
        <v>64</v>
      </c>
      <c r="G10" t="s">
        <v>65</v>
      </c>
      <c r="H10">
        <f>'DNA Loop Engine'!$B$5</f>
        <v>50</v>
      </c>
      <c r="I10" t="str">
        <f t="shared" si="0"/>
        <v>✅ Complete</v>
      </c>
      <c r="J10" s="11">
        <f t="shared" si="1"/>
        <v>1</v>
      </c>
      <c r="K10" s="11" t="s">
        <v>61</v>
      </c>
      <c r="L10" s="13">
        <v>-0.02</v>
      </c>
      <c r="M10" s="13">
        <v>0.75</v>
      </c>
      <c r="N10" s="13">
        <v>0.1</v>
      </c>
      <c r="O10" t="s">
        <v>67</v>
      </c>
      <c r="P10" s="7">
        <f t="shared" si="2"/>
        <v>-0.02</v>
      </c>
      <c r="Q10" s="7">
        <f t="shared" si="3"/>
        <v>0.75</v>
      </c>
      <c r="R10" s="7">
        <f t="shared" si="4"/>
        <v>0.1</v>
      </c>
      <c r="S10" s="7"/>
      <c r="T10" s="7"/>
      <c r="U10" s="7"/>
    </row>
    <row r="11" spans="1:21">
      <c r="A11" t="s">
        <v>84</v>
      </c>
      <c r="B11" t="s">
        <v>62</v>
      </c>
      <c r="C11" t="s">
        <v>85</v>
      </c>
      <c r="D11">
        <v>5</v>
      </c>
      <c r="E11">
        <v>20</v>
      </c>
      <c r="F11" t="s">
        <v>64</v>
      </c>
      <c r="G11" t="s">
        <v>65</v>
      </c>
      <c r="H11">
        <f>'DNA Loop Engine'!$B$5</f>
        <v>50</v>
      </c>
      <c r="I11" t="str">
        <f t="shared" si="0"/>
        <v>✅ Complete</v>
      </c>
      <c r="J11" s="11">
        <f t="shared" si="1"/>
        <v>1</v>
      </c>
      <c r="K11" s="11" t="s">
        <v>61</v>
      </c>
      <c r="L11" s="13">
        <v>0.02</v>
      </c>
      <c r="M11" s="13">
        <v>0.75</v>
      </c>
      <c r="N11" s="13">
        <v>0.1</v>
      </c>
      <c r="O11" t="s">
        <v>67</v>
      </c>
      <c r="P11" s="7">
        <f t="shared" si="2"/>
        <v>0.02</v>
      </c>
      <c r="Q11" s="7">
        <f t="shared" si="3"/>
        <v>0.75</v>
      </c>
      <c r="R11" s="7">
        <f t="shared" si="4"/>
        <v>0.1</v>
      </c>
      <c r="S11" s="7"/>
      <c r="T11" s="7"/>
      <c r="U11" s="7"/>
    </row>
    <row r="12" spans="1:21">
      <c r="A12" t="s">
        <v>86</v>
      </c>
      <c r="B12" t="s">
        <v>62</v>
      </c>
      <c r="C12" t="s">
        <v>87</v>
      </c>
      <c r="D12">
        <v>5</v>
      </c>
      <c r="E12">
        <v>20</v>
      </c>
      <c r="F12" t="s">
        <v>64</v>
      </c>
      <c r="G12" t="s">
        <v>65</v>
      </c>
      <c r="H12">
        <f>'DNA Loop Engine'!$B$5</f>
        <v>50</v>
      </c>
      <c r="I12" t="str">
        <f t="shared" si="0"/>
        <v>✅ Complete</v>
      </c>
      <c r="J12" s="11">
        <f t="shared" si="1"/>
        <v>1</v>
      </c>
      <c r="K12" s="11" t="s">
        <v>61</v>
      </c>
      <c r="L12" s="13">
        <v>-0.03</v>
      </c>
      <c r="M12" s="13">
        <v>0.76</v>
      </c>
      <c r="N12" s="13">
        <v>0.08</v>
      </c>
      <c r="O12" t="s">
        <v>67</v>
      </c>
      <c r="P12" s="7">
        <f t="shared" si="2"/>
        <v>-0.03</v>
      </c>
      <c r="Q12" s="7">
        <f t="shared" si="3"/>
        <v>0.76</v>
      </c>
      <c r="R12" s="7">
        <f t="shared" si="4"/>
        <v>0.08</v>
      </c>
      <c r="S12" s="7"/>
      <c r="T12" s="7"/>
      <c r="U12" s="7"/>
    </row>
    <row r="13" spans="1:21">
      <c r="A13" t="s">
        <v>88</v>
      </c>
      <c r="B13" t="s">
        <v>62</v>
      </c>
      <c r="C13" t="s">
        <v>89</v>
      </c>
      <c r="D13">
        <v>5</v>
      </c>
      <c r="E13">
        <v>20</v>
      </c>
      <c r="F13" t="s">
        <v>64</v>
      </c>
      <c r="G13" t="s">
        <v>65</v>
      </c>
      <c r="H13">
        <f>'DNA Loop Engine'!$B$5</f>
        <v>50</v>
      </c>
      <c r="I13" t="str">
        <f t="shared" si="0"/>
        <v>✅ Complete</v>
      </c>
      <c r="J13" s="11">
        <f t="shared" si="1"/>
        <v>1</v>
      </c>
      <c r="K13" s="11" t="s">
        <v>61</v>
      </c>
      <c r="L13" s="13">
        <v>0.03</v>
      </c>
      <c r="M13" s="13">
        <v>0.76</v>
      </c>
      <c r="N13" s="13">
        <v>0.08</v>
      </c>
      <c r="O13" t="s">
        <v>67</v>
      </c>
      <c r="P13" s="7">
        <f t="shared" si="2"/>
        <v>0.03</v>
      </c>
      <c r="Q13" s="7">
        <f t="shared" si="3"/>
        <v>0.76</v>
      </c>
      <c r="R13" s="7">
        <f t="shared" si="4"/>
        <v>0.08</v>
      </c>
      <c r="S13" s="7"/>
      <c r="T13" s="7"/>
      <c r="U13" s="7"/>
    </row>
    <row r="14" spans="1:21">
      <c r="A14" t="s">
        <v>90</v>
      </c>
      <c r="B14" t="s">
        <v>62</v>
      </c>
      <c r="C14" t="s">
        <v>91</v>
      </c>
      <c r="D14">
        <v>5</v>
      </c>
      <c r="E14">
        <v>20</v>
      </c>
      <c r="F14" t="s">
        <v>64</v>
      </c>
      <c r="G14" t="s">
        <v>65</v>
      </c>
      <c r="H14">
        <f>'DNA Loop Engine'!$B$5</f>
        <v>50</v>
      </c>
      <c r="I14" t="str">
        <f t="shared" si="0"/>
        <v>✅ Complete</v>
      </c>
      <c r="J14" s="11">
        <f t="shared" si="1"/>
        <v>1</v>
      </c>
      <c r="K14" s="11" t="s">
        <v>90</v>
      </c>
      <c r="L14" s="13">
        <v>-0.06</v>
      </c>
      <c r="M14" s="13">
        <v>0.74</v>
      </c>
      <c r="N14" s="13">
        <v>0.08</v>
      </c>
      <c r="O14" t="s">
        <v>67</v>
      </c>
      <c r="P14" s="7">
        <f t="shared" si="2"/>
        <v>-0.06</v>
      </c>
      <c r="Q14" s="7">
        <f t="shared" si="3"/>
        <v>0.74</v>
      </c>
      <c r="R14" s="7">
        <f t="shared" si="4"/>
        <v>0.08</v>
      </c>
      <c r="S14" s="7"/>
      <c r="T14" s="7"/>
      <c r="U14" s="7"/>
    </row>
    <row r="15" spans="1:21">
      <c r="A15" t="s">
        <v>92</v>
      </c>
      <c r="B15" t="s">
        <v>62</v>
      </c>
      <c r="C15" t="s">
        <v>93</v>
      </c>
      <c r="D15">
        <v>5</v>
      </c>
      <c r="E15">
        <v>20</v>
      </c>
      <c r="F15" t="s">
        <v>64</v>
      </c>
      <c r="G15" t="s">
        <v>65</v>
      </c>
      <c r="H15">
        <f>'DNA Loop Engine'!$B$5</f>
        <v>50</v>
      </c>
      <c r="I15" t="str">
        <f t="shared" si="0"/>
        <v>✅ Complete</v>
      </c>
      <c r="J15" s="11">
        <f t="shared" si="1"/>
        <v>1</v>
      </c>
      <c r="K15" s="11" t="s">
        <v>92</v>
      </c>
      <c r="L15" s="13">
        <v>0.06</v>
      </c>
      <c r="M15" s="13">
        <v>0.74</v>
      </c>
      <c r="N15" s="13">
        <v>0.08</v>
      </c>
      <c r="O15" t="s">
        <v>67</v>
      </c>
      <c r="P15" s="7">
        <f t="shared" si="2"/>
        <v>0.06</v>
      </c>
      <c r="Q15" s="7">
        <f t="shared" si="3"/>
        <v>0.74</v>
      </c>
      <c r="R15" s="7">
        <f t="shared" si="4"/>
        <v>0.08</v>
      </c>
      <c r="S15" s="7"/>
      <c r="T15" s="7"/>
      <c r="U15" s="7"/>
    </row>
    <row r="16" spans="1:21">
      <c r="A16" t="s">
        <v>94</v>
      </c>
      <c r="B16" t="s">
        <v>62</v>
      </c>
      <c r="C16" t="s">
        <v>95</v>
      </c>
      <c r="D16">
        <v>5</v>
      </c>
      <c r="E16">
        <v>20</v>
      </c>
      <c r="F16" t="s">
        <v>64</v>
      </c>
      <c r="G16" t="s">
        <v>65</v>
      </c>
      <c r="H16">
        <f>'DNA Loop Engine'!$B$5</f>
        <v>50</v>
      </c>
      <c r="I16" t="str">
        <f t="shared" si="0"/>
        <v>✅ Complete</v>
      </c>
      <c r="J16" s="11">
        <f t="shared" si="1"/>
        <v>1</v>
      </c>
      <c r="K16" s="11" t="s">
        <v>94</v>
      </c>
      <c r="L16" s="13">
        <v>-0.03</v>
      </c>
      <c r="M16" s="13">
        <v>0.72</v>
      </c>
      <c r="N16" s="13">
        <v>0.1</v>
      </c>
      <c r="O16" t="s">
        <v>67</v>
      </c>
      <c r="P16" s="7">
        <f t="shared" si="2"/>
        <v>-0.03</v>
      </c>
      <c r="Q16" s="7">
        <f t="shared" si="3"/>
        <v>0.72</v>
      </c>
      <c r="R16" s="7">
        <f t="shared" si="4"/>
        <v>0.1</v>
      </c>
      <c r="S16" s="7"/>
      <c r="T16" s="7"/>
      <c r="U16" s="7"/>
    </row>
    <row r="17" spans="1:21">
      <c r="A17" t="s">
        <v>96</v>
      </c>
      <c r="B17" t="s">
        <v>62</v>
      </c>
      <c r="C17" t="s">
        <v>97</v>
      </c>
      <c r="D17">
        <v>5</v>
      </c>
      <c r="E17">
        <v>20</v>
      </c>
      <c r="F17" t="s">
        <v>64</v>
      </c>
      <c r="G17" t="s">
        <v>65</v>
      </c>
      <c r="H17">
        <f>'DNA Loop Engine'!$B$5</f>
        <v>50</v>
      </c>
      <c r="I17" t="str">
        <f t="shared" si="0"/>
        <v>✅ Complete</v>
      </c>
      <c r="J17" s="11">
        <f t="shared" si="1"/>
        <v>1</v>
      </c>
      <c r="K17" s="11" t="s">
        <v>96</v>
      </c>
      <c r="L17" s="13">
        <v>0.03</v>
      </c>
      <c r="M17" s="13">
        <v>0.72</v>
      </c>
      <c r="N17" s="13">
        <v>0.1</v>
      </c>
      <c r="O17" t="s">
        <v>67</v>
      </c>
      <c r="P17" s="7">
        <f t="shared" si="2"/>
        <v>0.03</v>
      </c>
      <c r="Q17" s="7">
        <f t="shared" si="3"/>
        <v>0.72</v>
      </c>
      <c r="R17" s="7">
        <f t="shared" si="4"/>
        <v>0.1</v>
      </c>
      <c r="S17" s="7"/>
      <c r="T17" s="7"/>
      <c r="U17" s="7"/>
    </row>
    <row r="18" spans="1:21">
      <c r="A18" t="s">
        <v>98</v>
      </c>
      <c r="B18" t="s">
        <v>62</v>
      </c>
      <c r="C18" t="s">
        <v>99</v>
      </c>
      <c r="D18">
        <v>6</v>
      </c>
      <c r="E18">
        <v>36</v>
      </c>
      <c r="F18" t="s">
        <v>64</v>
      </c>
      <c r="G18" t="s">
        <v>65</v>
      </c>
      <c r="H18">
        <f>'DNA Loop Engine'!$B$5</f>
        <v>50</v>
      </c>
      <c r="I18" t="str">
        <f t="shared" si="0"/>
        <v>✅ Complete</v>
      </c>
      <c r="J18" s="11">
        <f t="shared" si="1"/>
        <v>1</v>
      </c>
      <c r="K18" s="11" t="s">
        <v>72</v>
      </c>
      <c r="L18" s="13">
        <v>0</v>
      </c>
      <c r="M18" s="13">
        <v>0.68</v>
      </c>
      <c r="N18" s="13">
        <v>0.12</v>
      </c>
      <c r="O18" t="s">
        <v>100</v>
      </c>
      <c r="P18" s="7">
        <f t="shared" si="2"/>
        <v>0</v>
      </c>
      <c r="Q18" s="7">
        <f t="shared" si="3"/>
        <v>0.68</v>
      </c>
      <c r="R18" s="7">
        <f t="shared" si="4"/>
        <v>0.12</v>
      </c>
      <c r="S18" s="7"/>
      <c r="T18" s="7"/>
      <c r="U18" s="7"/>
    </row>
    <row r="19" spans="1:21">
      <c r="A19" t="s">
        <v>101</v>
      </c>
      <c r="B19" t="s">
        <v>62</v>
      </c>
      <c r="C19" t="s">
        <v>102</v>
      </c>
      <c r="D19">
        <v>6</v>
      </c>
      <c r="E19">
        <v>20</v>
      </c>
      <c r="F19" t="s">
        <v>64</v>
      </c>
      <c r="G19" t="s">
        <v>65</v>
      </c>
      <c r="H19">
        <f>'DNA Loop Engine'!$B$5</f>
        <v>50</v>
      </c>
      <c r="I19" t="str">
        <f t="shared" si="0"/>
        <v>✅ Complete</v>
      </c>
      <c r="J19" s="11">
        <f t="shared" si="1"/>
        <v>1</v>
      </c>
      <c r="K19" s="11" t="s">
        <v>94</v>
      </c>
      <c r="L19" s="13">
        <v>-0.02</v>
      </c>
      <c r="M19" s="13">
        <v>0.71</v>
      </c>
      <c r="N19" s="13">
        <v>0.06</v>
      </c>
      <c r="O19" t="s">
        <v>67</v>
      </c>
      <c r="P19" s="7">
        <f t="shared" si="2"/>
        <v>-0.02</v>
      </c>
      <c r="Q19" s="7">
        <f t="shared" si="3"/>
        <v>0.71</v>
      </c>
      <c r="R19" s="7">
        <f t="shared" si="4"/>
        <v>0.06</v>
      </c>
      <c r="S19" s="7"/>
      <c r="T19" s="7"/>
      <c r="U19" s="7"/>
    </row>
    <row r="20" spans="1:21">
      <c r="A20" t="s">
        <v>103</v>
      </c>
      <c r="B20" t="s">
        <v>62</v>
      </c>
      <c r="C20" t="s">
        <v>104</v>
      </c>
      <c r="D20">
        <v>6</v>
      </c>
      <c r="E20">
        <v>20</v>
      </c>
      <c r="F20" t="s">
        <v>64</v>
      </c>
      <c r="G20" t="s">
        <v>65</v>
      </c>
      <c r="H20">
        <f>'DNA Loop Engine'!$B$5</f>
        <v>50</v>
      </c>
      <c r="I20" t="str">
        <f t="shared" si="0"/>
        <v>✅ Complete</v>
      </c>
      <c r="J20" s="11">
        <f t="shared" si="1"/>
        <v>1</v>
      </c>
      <c r="K20" s="11" t="s">
        <v>96</v>
      </c>
      <c r="L20" s="13">
        <v>0.02</v>
      </c>
      <c r="M20" s="13">
        <v>0.71</v>
      </c>
      <c r="N20" s="13">
        <v>0.06</v>
      </c>
      <c r="O20" t="s">
        <v>67</v>
      </c>
      <c r="P20" s="7">
        <f t="shared" si="2"/>
        <v>0.02</v>
      </c>
      <c r="Q20" s="7">
        <f t="shared" si="3"/>
        <v>0.71</v>
      </c>
      <c r="R20" s="7">
        <f t="shared" si="4"/>
        <v>0.06</v>
      </c>
      <c r="S20" s="7"/>
      <c r="T20" s="7"/>
      <c r="U20" s="7"/>
    </row>
    <row r="21" spans="1:21">
      <c r="A21" t="s">
        <v>105</v>
      </c>
      <c r="B21" t="s">
        <v>62</v>
      </c>
      <c r="C21" t="s">
        <v>106</v>
      </c>
      <c r="D21">
        <v>6</v>
      </c>
      <c r="E21">
        <v>20</v>
      </c>
      <c r="F21" t="s">
        <v>64</v>
      </c>
      <c r="G21" t="s">
        <v>65</v>
      </c>
      <c r="H21">
        <f>'DNA Loop Engine'!$B$5</f>
        <v>50</v>
      </c>
      <c r="I21" t="str">
        <f t="shared" si="0"/>
        <v>✅ Complete</v>
      </c>
      <c r="J21" s="11">
        <f t="shared" si="1"/>
        <v>1</v>
      </c>
      <c r="K21" s="11" t="s">
        <v>80</v>
      </c>
      <c r="L21" s="13">
        <v>-0.01</v>
      </c>
      <c r="M21" s="13">
        <v>0.73</v>
      </c>
      <c r="N21" s="13">
        <v>0.08</v>
      </c>
      <c r="O21" t="s">
        <v>67</v>
      </c>
      <c r="P21" s="7">
        <f t="shared" si="2"/>
        <v>-0.01</v>
      </c>
      <c r="Q21" s="7">
        <f t="shared" si="3"/>
        <v>0.73</v>
      </c>
      <c r="R21" s="7">
        <f t="shared" si="4"/>
        <v>0.08</v>
      </c>
      <c r="S21" s="7"/>
      <c r="T21" s="7"/>
      <c r="U21" s="7"/>
    </row>
    <row r="22" spans="1:21">
      <c r="A22" t="s">
        <v>107</v>
      </c>
      <c r="B22" t="s">
        <v>62</v>
      </c>
      <c r="C22" t="s">
        <v>108</v>
      </c>
      <c r="D22">
        <v>6</v>
      </c>
      <c r="E22">
        <v>20</v>
      </c>
      <c r="F22" t="s">
        <v>64</v>
      </c>
      <c r="G22" t="s">
        <v>65</v>
      </c>
      <c r="H22">
        <f>'DNA Loop Engine'!$B$5</f>
        <v>50</v>
      </c>
      <c r="I22" t="str">
        <f t="shared" si="0"/>
        <v>✅ Complete</v>
      </c>
      <c r="J22" s="11">
        <f t="shared" si="1"/>
        <v>1</v>
      </c>
      <c r="K22" s="11" t="s">
        <v>80</v>
      </c>
      <c r="L22" s="13">
        <v>0.01</v>
      </c>
      <c r="M22" s="13">
        <v>0.73</v>
      </c>
      <c r="N22" s="13">
        <v>0.08</v>
      </c>
      <c r="O22" t="s">
        <v>67</v>
      </c>
      <c r="P22" s="7">
        <f t="shared" si="2"/>
        <v>0.01</v>
      </c>
      <c r="Q22" s="7">
        <f t="shared" si="3"/>
        <v>0.73</v>
      </c>
      <c r="R22" s="7">
        <f t="shared" si="4"/>
        <v>0.08</v>
      </c>
      <c r="S22" s="7"/>
      <c r="T22" s="7"/>
      <c r="U22" s="7"/>
    </row>
    <row r="23" spans="1:21">
      <c r="A23" t="s">
        <v>109</v>
      </c>
      <c r="B23" t="s">
        <v>62</v>
      </c>
      <c r="C23" t="s">
        <v>110</v>
      </c>
      <c r="D23">
        <v>6</v>
      </c>
      <c r="E23">
        <v>20</v>
      </c>
      <c r="F23" t="s">
        <v>64</v>
      </c>
      <c r="G23" t="s">
        <v>65</v>
      </c>
      <c r="H23">
        <f>'DNA Loop Engine'!$B$5</f>
        <v>50</v>
      </c>
      <c r="I23" t="str">
        <f t="shared" si="0"/>
        <v>✅ Complete</v>
      </c>
      <c r="J23" s="11">
        <f t="shared" si="1"/>
        <v>1</v>
      </c>
      <c r="K23" s="11" t="s">
        <v>109</v>
      </c>
      <c r="L23" s="13">
        <v>0</v>
      </c>
      <c r="M23" s="13">
        <v>0.74</v>
      </c>
      <c r="N23" s="13">
        <v>0.06</v>
      </c>
      <c r="O23" t="s">
        <v>67</v>
      </c>
      <c r="P23" s="7">
        <f t="shared" si="2"/>
        <v>0</v>
      </c>
      <c r="Q23" s="7">
        <f t="shared" si="3"/>
        <v>0.74</v>
      </c>
      <c r="R23" s="7">
        <f t="shared" si="4"/>
        <v>0.06</v>
      </c>
      <c r="S23" s="7"/>
      <c r="T23" s="7"/>
      <c r="U23" s="7"/>
    </row>
    <row r="24" spans="1:21">
      <c r="A24" t="s">
        <v>111</v>
      </c>
      <c r="B24" t="s">
        <v>62</v>
      </c>
      <c r="C24" t="s">
        <v>112</v>
      </c>
      <c r="D24">
        <v>6</v>
      </c>
      <c r="E24">
        <v>16</v>
      </c>
      <c r="F24" t="s">
        <v>64</v>
      </c>
      <c r="G24" t="s">
        <v>65</v>
      </c>
      <c r="H24">
        <f>'DNA Loop Engine'!$B$5</f>
        <v>50</v>
      </c>
      <c r="I24" t="str">
        <f t="shared" si="0"/>
        <v>✅ Complete</v>
      </c>
      <c r="J24" s="11">
        <f t="shared" si="1"/>
        <v>1</v>
      </c>
      <c r="K24" s="11" t="s">
        <v>72</v>
      </c>
      <c r="L24" s="13">
        <v>-0.13</v>
      </c>
      <c r="M24" s="13">
        <v>0.8</v>
      </c>
      <c r="N24" s="13">
        <v>-0.04</v>
      </c>
      <c r="O24" t="s">
        <v>113</v>
      </c>
      <c r="P24" s="7">
        <f t="shared" si="2"/>
        <v>-0.13</v>
      </c>
      <c r="Q24" s="7">
        <f t="shared" si="3"/>
        <v>0.8</v>
      </c>
      <c r="R24" s="7">
        <f t="shared" si="4"/>
        <v>-0.04</v>
      </c>
      <c r="S24" s="7"/>
      <c r="T24" s="7"/>
      <c r="U24" s="7"/>
    </row>
    <row r="25" spans="1:21">
      <c r="A25" t="s">
        <v>114</v>
      </c>
      <c r="B25" t="s">
        <v>62</v>
      </c>
      <c r="C25" t="s">
        <v>115</v>
      </c>
      <c r="D25">
        <v>6</v>
      </c>
      <c r="E25">
        <v>16</v>
      </c>
      <c r="F25" t="s">
        <v>64</v>
      </c>
      <c r="G25" t="s">
        <v>65</v>
      </c>
      <c r="H25">
        <f>'DNA Loop Engine'!$B$5</f>
        <v>50</v>
      </c>
      <c r="I25" t="str">
        <f t="shared" si="0"/>
        <v>✅ Complete</v>
      </c>
      <c r="J25" s="11">
        <f t="shared" si="1"/>
        <v>1</v>
      </c>
      <c r="K25" s="11" t="s">
        <v>74</v>
      </c>
      <c r="L25" s="13">
        <v>0.13</v>
      </c>
      <c r="M25" s="13">
        <v>0.8</v>
      </c>
      <c r="N25" s="13">
        <v>-0.04</v>
      </c>
      <c r="O25" t="s">
        <v>113</v>
      </c>
      <c r="P25" s="7">
        <f t="shared" si="2"/>
        <v>0.13</v>
      </c>
      <c r="Q25" s="7">
        <f t="shared" si="3"/>
        <v>0.8</v>
      </c>
      <c r="R25" s="7">
        <f t="shared" si="4"/>
        <v>-0.04</v>
      </c>
      <c r="S25" s="7"/>
      <c r="T25" s="7"/>
      <c r="U25" s="7"/>
    </row>
    <row r="26" spans="1:21">
      <c r="A26" t="s">
        <v>116</v>
      </c>
      <c r="B26" t="s">
        <v>62</v>
      </c>
      <c r="C26" t="s">
        <v>117</v>
      </c>
      <c r="D26">
        <v>6</v>
      </c>
      <c r="E26">
        <v>16</v>
      </c>
      <c r="F26" t="s">
        <v>64</v>
      </c>
      <c r="G26" t="s">
        <v>65</v>
      </c>
      <c r="H26">
        <f>'DNA Loop Engine'!$B$5</f>
        <v>50</v>
      </c>
      <c r="I26" t="str">
        <f t="shared" si="0"/>
        <v>✅ Complete</v>
      </c>
      <c r="J26" s="11">
        <f t="shared" si="1"/>
        <v>1</v>
      </c>
      <c r="K26" s="11" t="s">
        <v>72</v>
      </c>
      <c r="L26" s="13">
        <v>-0.13</v>
      </c>
      <c r="M26" s="13">
        <v>0.8</v>
      </c>
      <c r="N26" s="13">
        <v>-0.04</v>
      </c>
      <c r="O26" t="s">
        <v>113</v>
      </c>
      <c r="P26" s="7">
        <f t="shared" si="2"/>
        <v>-0.13</v>
      </c>
      <c r="Q26" s="7">
        <f t="shared" si="3"/>
        <v>0.8</v>
      </c>
      <c r="R26" s="7">
        <f t="shared" si="4"/>
        <v>-0.04</v>
      </c>
      <c r="S26" s="7"/>
      <c r="T26" s="7"/>
      <c r="U26" s="7"/>
    </row>
    <row r="27" spans="1:21">
      <c r="A27" t="s">
        <v>118</v>
      </c>
      <c r="B27" t="s">
        <v>62</v>
      </c>
      <c r="C27" t="s">
        <v>119</v>
      </c>
      <c r="D27">
        <v>6</v>
      </c>
      <c r="E27">
        <v>16</v>
      </c>
      <c r="F27" t="s">
        <v>64</v>
      </c>
      <c r="G27" t="s">
        <v>65</v>
      </c>
      <c r="H27">
        <f>'DNA Loop Engine'!$B$5</f>
        <v>50</v>
      </c>
      <c r="I27" t="str">
        <f t="shared" si="0"/>
        <v>✅ Complete</v>
      </c>
      <c r="J27" s="11">
        <f t="shared" si="1"/>
        <v>1</v>
      </c>
      <c r="K27" s="11" t="s">
        <v>74</v>
      </c>
      <c r="L27" s="13">
        <v>0.13</v>
      </c>
      <c r="M27" s="13">
        <v>0.8</v>
      </c>
      <c r="N27" s="13">
        <v>-0.04</v>
      </c>
      <c r="O27" t="s">
        <v>113</v>
      </c>
      <c r="P27" s="7">
        <f t="shared" si="2"/>
        <v>0.13</v>
      </c>
      <c r="Q27" s="7">
        <f t="shared" si="3"/>
        <v>0.8</v>
      </c>
      <c r="R27" s="7">
        <f t="shared" si="4"/>
        <v>-0.04</v>
      </c>
      <c r="S27" s="7"/>
      <c r="T27" s="7"/>
      <c r="U27" s="7"/>
    </row>
    <row r="28" spans="1:21">
      <c r="A28" t="s">
        <v>120</v>
      </c>
      <c r="B28" t="s">
        <v>62</v>
      </c>
      <c r="C28" t="s">
        <v>121</v>
      </c>
      <c r="D28">
        <v>6</v>
      </c>
      <c r="E28">
        <v>16</v>
      </c>
      <c r="F28" t="s">
        <v>64</v>
      </c>
      <c r="G28" t="s">
        <v>65</v>
      </c>
      <c r="H28">
        <f>'DNA Loop Engine'!$B$5</f>
        <v>50</v>
      </c>
      <c r="I28" t="str">
        <f t="shared" si="0"/>
        <v>✅ Complete</v>
      </c>
      <c r="J28" s="11">
        <f t="shared" si="1"/>
        <v>1</v>
      </c>
      <c r="K28" s="11" t="s">
        <v>72</v>
      </c>
      <c r="L28" s="13">
        <v>-0.13</v>
      </c>
      <c r="M28" s="13">
        <v>0.8</v>
      </c>
      <c r="N28" s="13">
        <v>-0.04</v>
      </c>
      <c r="O28" t="s">
        <v>113</v>
      </c>
      <c r="P28" s="7">
        <f t="shared" si="2"/>
        <v>-0.13</v>
      </c>
      <c r="Q28" s="7">
        <f t="shared" si="3"/>
        <v>0.8</v>
      </c>
      <c r="R28" s="7">
        <f t="shared" si="4"/>
        <v>-0.04</v>
      </c>
      <c r="S28" s="7"/>
      <c r="T28" s="7"/>
      <c r="U28" s="7"/>
    </row>
    <row r="29" spans="1:21">
      <c r="A29" t="s">
        <v>122</v>
      </c>
      <c r="B29" t="s">
        <v>62</v>
      </c>
      <c r="C29" t="s">
        <v>123</v>
      </c>
      <c r="D29">
        <v>6</v>
      </c>
      <c r="E29">
        <v>16</v>
      </c>
      <c r="F29" t="s">
        <v>64</v>
      </c>
      <c r="G29" t="s">
        <v>65</v>
      </c>
      <c r="H29">
        <f>'DNA Loop Engine'!$B$5</f>
        <v>50</v>
      </c>
      <c r="I29" t="str">
        <f t="shared" si="0"/>
        <v>✅ Complete</v>
      </c>
      <c r="J29" s="11">
        <f t="shared" si="1"/>
        <v>1</v>
      </c>
      <c r="K29" s="11" t="s">
        <v>74</v>
      </c>
      <c r="L29" s="13">
        <v>0.13</v>
      </c>
      <c r="M29" s="13">
        <v>0.8</v>
      </c>
      <c r="N29" s="13">
        <v>-0.04</v>
      </c>
      <c r="O29" t="s">
        <v>113</v>
      </c>
      <c r="P29" s="7">
        <f t="shared" si="2"/>
        <v>0.13</v>
      </c>
      <c r="Q29" s="7">
        <f t="shared" si="3"/>
        <v>0.8</v>
      </c>
      <c r="R29" s="7">
        <f t="shared" si="4"/>
        <v>-0.04</v>
      </c>
      <c r="S29" s="7"/>
      <c r="T29" s="7"/>
      <c r="U29" s="7"/>
    </row>
    <row r="30" spans="1:21">
      <c r="A30" t="s">
        <v>124</v>
      </c>
      <c r="B30" t="s">
        <v>62</v>
      </c>
      <c r="C30" t="s">
        <v>125</v>
      </c>
      <c r="D30">
        <v>6</v>
      </c>
      <c r="E30">
        <v>20</v>
      </c>
      <c r="F30" t="s">
        <v>64</v>
      </c>
      <c r="G30" t="s">
        <v>65</v>
      </c>
      <c r="H30">
        <f>'DNA Loop Engine'!$B$5</f>
        <v>50</v>
      </c>
      <c r="I30" t="str">
        <f t="shared" si="0"/>
        <v>✅ Complete</v>
      </c>
      <c r="J30" s="11">
        <f t="shared" si="1"/>
        <v>1</v>
      </c>
      <c r="K30" s="11" t="s">
        <v>98</v>
      </c>
      <c r="L30" s="13">
        <v>0</v>
      </c>
      <c r="M30" s="13">
        <v>0.62</v>
      </c>
      <c r="N30" s="13">
        <v>0.06</v>
      </c>
      <c r="O30" t="s">
        <v>126</v>
      </c>
      <c r="P30" s="7">
        <f t="shared" si="2"/>
        <v>0</v>
      </c>
      <c r="Q30" s="7">
        <f t="shared" si="3"/>
        <v>0.62</v>
      </c>
      <c r="R30" s="7">
        <f t="shared" si="4"/>
        <v>0.06</v>
      </c>
      <c r="S30" s="7"/>
      <c r="T30" s="7"/>
      <c r="U30" s="7"/>
    </row>
    <row r="31" spans="1:21">
      <c r="A31" t="s">
        <v>127</v>
      </c>
      <c r="B31" t="s">
        <v>62</v>
      </c>
      <c r="C31" t="s">
        <v>128</v>
      </c>
      <c r="D31">
        <v>4</v>
      </c>
      <c r="E31">
        <v>36</v>
      </c>
      <c r="F31" t="s">
        <v>64</v>
      </c>
      <c r="G31" t="s">
        <v>65</v>
      </c>
      <c r="H31">
        <f>'DNA Loop Engine'!$B$5</f>
        <v>50</v>
      </c>
      <c r="I31" t="str">
        <f t="shared" si="0"/>
        <v>✅ Complete</v>
      </c>
      <c r="J31" s="11">
        <f t="shared" si="1"/>
        <v>1</v>
      </c>
      <c r="K31" s="11" t="s">
        <v>66</v>
      </c>
      <c r="L31" s="13">
        <v>0</v>
      </c>
      <c r="M31" s="13">
        <v>0.6</v>
      </c>
      <c r="N31" s="13">
        <v>-0.04</v>
      </c>
      <c r="O31" t="s">
        <v>129</v>
      </c>
      <c r="P31" s="7">
        <f t="shared" si="2"/>
        <v>0</v>
      </c>
      <c r="Q31" s="7">
        <f t="shared" si="3"/>
        <v>0.6</v>
      </c>
      <c r="R31" s="7">
        <f t="shared" si="4"/>
        <v>-0.04</v>
      </c>
      <c r="S31" s="7"/>
      <c r="T31" s="7"/>
      <c r="U31" s="7"/>
    </row>
    <row r="32" spans="1:21">
      <c r="A32" t="s">
        <v>130</v>
      </c>
      <c r="B32" t="s">
        <v>62</v>
      </c>
      <c r="C32" t="s">
        <v>131</v>
      </c>
      <c r="D32">
        <v>4</v>
      </c>
      <c r="E32">
        <v>36</v>
      </c>
      <c r="F32" t="s">
        <v>64</v>
      </c>
      <c r="G32" t="s">
        <v>65</v>
      </c>
      <c r="H32">
        <f>'DNA Loop Engine'!$B$5</f>
        <v>50</v>
      </c>
      <c r="I32" t="str">
        <f t="shared" si="0"/>
        <v>✅ Complete</v>
      </c>
      <c r="J32" s="11">
        <f t="shared" si="1"/>
        <v>1</v>
      </c>
      <c r="K32" s="11" t="s">
        <v>127</v>
      </c>
      <c r="L32" s="13">
        <v>0</v>
      </c>
      <c r="M32" s="13">
        <v>0.4</v>
      </c>
      <c r="N32" s="13">
        <v>-0.06</v>
      </c>
      <c r="O32" t="s">
        <v>132</v>
      </c>
      <c r="P32" s="7">
        <f t="shared" si="2"/>
        <v>0</v>
      </c>
      <c r="Q32" s="7">
        <f t="shared" si="3"/>
        <v>0.4</v>
      </c>
      <c r="R32" s="7">
        <f t="shared" si="4"/>
        <v>-0.06</v>
      </c>
      <c r="S32" s="7"/>
      <c r="T32" s="7"/>
      <c r="U32" s="7"/>
    </row>
    <row r="33" spans="1:21">
      <c r="A33" t="s">
        <v>133</v>
      </c>
      <c r="B33" t="s">
        <v>62</v>
      </c>
      <c r="C33" t="s">
        <v>134</v>
      </c>
      <c r="D33">
        <v>4</v>
      </c>
      <c r="E33">
        <v>36</v>
      </c>
      <c r="F33" t="s">
        <v>64</v>
      </c>
      <c r="G33" t="s">
        <v>65</v>
      </c>
      <c r="H33">
        <f>'DNA Loop Engine'!$B$5</f>
        <v>50</v>
      </c>
      <c r="I33" t="str">
        <f t="shared" si="0"/>
        <v>✅ Complete</v>
      </c>
      <c r="J33" s="11">
        <f t="shared" si="1"/>
        <v>1</v>
      </c>
      <c r="K33" s="11" t="s">
        <v>130</v>
      </c>
      <c r="L33" s="13">
        <v>0</v>
      </c>
      <c r="M33" s="13">
        <v>0.15</v>
      </c>
      <c r="N33" s="13">
        <v>-0.06</v>
      </c>
      <c r="O33" t="s">
        <v>132</v>
      </c>
      <c r="P33" s="7">
        <f t="shared" si="2"/>
        <v>0</v>
      </c>
      <c r="Q33" s="7">
        <f t="shared" si="3"/>
        <v>0.15</v>
      </c>
      <c r="R33" s="7">
        <f t="shared" si="4"/>
        <v>-0.06</v>
      </c>
      <c r="S33" s="7"/>
      <c r="T33" s="7"/>
      <c r="U33" s="7"/>
    </row>
    <row r="34" spans="1:21">
      <c r="A34" t="s">
        <v>135</v>
      </c>
      <c r="B34" t="s">
        <v>62</v>
      </c>
      <c r="C34" t="s">
        <v>136</v>
      </c>
      <c r="D34">
        <v>6</v>
      </c>
      <c r="E34">
        <v>36</v>
      </c>
      <c r="F34" t="s">
        <v>64</v>
      </c>
      <c r="G34" t="s">
        <v>65</v>
      </c>
      <c r="H34">
        <f>'DNA Loop Engine'!$B$5</f>
        <v>50</v>
      </c>
      <c r="I34" t="str">
        <f t="shared" ref="I34:I65" si="5">IF(H34&lt;D34,"⏳ Pending",IF(H34&gt;=E34,"✅ Complete","🔄 Growing"))</f>
        <v>✅ Complete</v>
      </c>
      <c r="J34" s="11">
        <f t="shared" ref="J34:J65" si="6">IF(H34&lt;D34,0,IF(H34&gt;=E34,1,(H34-D34)/(E34-D34)))</f>
        <v>1</v>
      </c>
      <c r="K34" s="11" t="s">
        <v>133</v>
      </c>
      <c r="L34" s="13">
        <v>0</v>
      </c>
      <c r="M34" s="13">
        <v>0.02</v>
      </c>
      <c r="N34" s="13">
        <v>-0.06</v>
      </c>
      <c r="O34" t="s">
        <v>137</v>
      </c>
      <c r="P34" s="7">
        <f t="shared" si="2"/>
        <v>0</v>
      </c>
      <c r="Q34" s="7">
        <f t="shared" si="3"/>
        <v>0.02</v>
      </c>
      <c r="R34" s="7">
        <f t="shared" si="4"/>
        <v>-0.06</v>
      </c>
      <c r="S34" s="7"/>
      <c r="T34" s="7"/>
      <c r="U34" s="7"/>
    </row>
    <row r="35" spans="1:21">
      <c r="A35" t="s">
        <v>138</v>
      </c>
      <c r="B35" t="s">
        <v>62</v>
      </c>
      <c r="C35" t="s">
        <v>139</v>
      </c>
      <c r="D35">
        <v>6</v>
      </c>
      <c r="E35">
        <v>36</v>
      </c>
      <c r="F35" t="s">
        <v>64</v>
      </c>
      <c r="G35" t="s">
        <v>65</v>
      </c>
      <c r="H35">
        <f>'DNA Loop Engine'!$B$5</f>
        <v>50</v>
      </c>
      <c r="I35" t="str">
        <f t="shared" si="5"/>
        <v>✅ Complete</v>
      </c>
      <c r="J35" s="11">
        <f t="shared" si="6"/>
        <v>1</v>
      </c>
      <c r="K35" s="11" t="s">
        <v>135</v>
      </c>
      <c r="L35" s="13">
        <v>0</v>
      </c>
      <c r="M35" s="13">
        <v>-0.05</v>
      </c>
      <c r="N35" s="13">
        <v>-0.08</v>
      </c>
      <c r="O35" t="s">
        <v>140</v>
      </c>
      <c r="P35" s="7">
        <f t="shared" si="2"/>
        <v>0</v>
      </c>
      <c r="Q35" s="7">
        <f t="shared" si="3"/>
        <v>-0.05</v>
      </c>
      <c r="R35" s="7">
        <f t="shared" si="4"/>
        <v>-0.08</v>
      </c>
      <c r="S35" s="7"/>
      <c r="T35" s="7"/>
      <c r="U35" s="7"/>
    </row>
    <row r="36" spans="1:21">
      <c r="A36" t="s">
        <v>141</v>
      </c>
      <c r="B36" t="s">
        <v>62</v>
      </c>
      <c r="C36" t="s">
        <v>142</v>
      </c>
      <c r="D36">
        <v>6</v>
      </c>
      <c r="E36">
        <v>36</v>
      </c>
      <c r="F36" t="s">
        <v>64</v>
      </c>
      <c r="G36" t="s">
        <v>65</v>
      </c>
      <c r="H36">
        <f>'DNA Loop Engine'!$B$5</f>
        <v>50</v>
      </c>
      <c r="I36" t="str">
        <f t="shared" si="5"/>
        <v>✅ Complete</v>
      </c>
      <c r="J36" s="11">
        <f t="shared" si="6"/>
        <v>1</v>
      </c>
      <c r="K36" s="11" t="s">
        <v>130</v>
      </c>
      <c r="L36" s="13">
        <v>-0.15</v>
      </c>
      <c r="M36" s="13">
        <v>0.4</v>
      </c>
      <c r="N36" s="13">
        <v>0</v>
      </c>
      <c r="O36" t="s">
        <v>143</v>
      </c>
      <c r="P36" s="7">
        <f t="shared" si="2"/>
        <v>-0.15</v>
      </c>
      <c r="Q36" s="7">
        <f t="shared" si="3"/>
        <v>0.4</v>
      </c>
      <c r="R36" s="7">
        <f t="shared" si="4"/>
        <v>0</v>
      </c>
      <c r="S36" s="7"/>
      <c r="T36" s="7"/>
      <c r="U36" s="7"/>
    </row>
    <row r="37" spans="1:21">
      <c r="A37" t="s">
        <v>144</v>
      </c>
      <c r="B37" t="s">
        <v>62</v>
      </c>
      <c r="C37" t="s">
        <v>145</v>
      </c>
      <c r="D37">
        <v>6</v>
      </c>
      <c r="E37">
        <v>36</v>
      </c>
      <c r="F37" t="s">
        <v>64</v>
      </c>
      <c r="G37" t="s">
        <v>65</v>
      </c>
      <c r="H37">
        <f>'DNA Loop Engine'!$B$5</f>
        <v>50</v>
      </c>
      <c r="I37" t="str">
        <f t="shared" si="5"/>
        <v>✅ Complete</v>
      </c>
      <c r="J37" s="11">
        <f t="shared" si="6"/>
        <v>1</v>
      </c>
      <c r="K37" s="11" t="s">
        <v>130</v>
      </c>
      <c r="L37" s="13">
        <v>0.15</v>
      </c>
      <c r="M37" s="13">
        <v>0.4</v>
      </c>
      <c r="N37" s="13">
        <v>0</v>
      </c>
      <c r="O37" t="s">
        <v>143</v>
      </c>
      <c r="P37" s="7">
        <f t="shared" si="2"/>
        <v>0.15</v>
      </c>
      <c r="Q37" s="7">
        <f t="shared" si="3"/>
        <v>0.4</v>
      </c>
      <c r="R37" s="7">
        <f t="shared" si="4"/>
        <v>0</v>
      </c>
      <c r="S37" s="7"/>
      <c r="T37" s="7"/>
      <c r="U37" s="7"/>
    </row>
    <row r="38" spans="1:21">
      <c r="A38" t="s">
        <v>146</v>
      </c>
      <c r="B38" t="s">
        <v>62</v>
      </c>
      <c r="C38" t="s">
        <v>147</v>
      </c>
      <c r="D38">
        <v>6</v>
      </c>
      <c r="E38">
        <v>36</v>
      </c>
      <c r="F38" t="s">
        <v>64</v>
      </c>
      <c r="G38" t="s">
        <v>65</v>
      </c>
      <c r="H38">
        <f>'DNA Loop Engine'!$B$5</f>
        <v>50</v>
      </c>
      <c r="I38" t="str">
        <f t="shared" si="5"/>
        <v>✅ Complete</v>
      </c>
      <c r="J38" s="11">
        <f t="shared" si="6"/>
        <v>1</v>
      </c>
      <c r="K38" s="11" t="s">
        <v>146</v>
      </c>
      <c r="L38" s="13">
        <v>0</v>
      </c>
      <c r="M38" s="13">
        <v>0.42</v>
      </c>
      <c r="N38" s="13">
        <v>0.08</v>
      </c>
      <c r="O38" t="s">
        <v>148</v>
      </c>
      <c r="P38" s="7">
        <f t="shared" si="2"/>
        <v>0</v>
      </c>
      <c r="Q38" s="7">
        <f t="shared" si="3"/>
        <v>0.42</v>
      </c>
      <c r="R38" s="7">
        <f t="shared" si="4"/>
        <v>0.08</v>
      </c>
      <c r="S38" s="7"/>
      <c r="T38" s="7"/>
      <c r="U38" s="7"/>
    </row>
    <row r="39" spans="1:21">
      <c r="A39" t="s">
        <v>149</v>
      </c>
      <c r="B39" t="s">
        <v>62</v>
      </c>
      <c r="C39" t="s">
        <v>150</v>
      </c>
      <c r="D39">
        <v>6</v>
      </c>
      <c r="E39">
        <v>36</v>
      </c>
      <c r="F39" t="s">
        <v>64</v>
      </c>
      <c r="G39" t="s">
        <v>65</v>
      </c>
      <c r="H39">
        <f>'DNA Loop Engine'!$B$5</f>
        <v>50</v>
      </c>
      <c r="I39" t="str">
        <f t="shared" si="5"/>
        <v>✅ Complete</v>
      </c>
      <c r="J39" s="11">
        <f t="shared" si="6"/>
        <v>1</v>
      </c>
      <c r="K39" s="11" t="s">
        <v>127</v>
      </c>
      <c r="L39" s="13">
        <v>-0.18</v>
      </c>
      <c r="M39" s="13">
        <v>0.55000000000000004</v>
      </c>
      <c r="N39" s="13">
        <v>0.02</v>
      </c>
      <c r="O39" t="s">
        <v>151</v>
      </c>
      <c r="P39" s="7">
        <f t="shared" si="2"/>
        <v>-0.18</v>
      </c>
      <c r="Q39" s="7">
        <f t="shared" si="3"/>
        <v>0.55000000000000004</v>
      </c>
      <c r="R39" s="7">
        <f t="shared" si="4"/>
        <v>0.02</v>
      </c>
      <c r="S39" s="7"/>
      <c r="T39" s="7"/>
      <c r="U39" s="7"/>
    </row>
    <row r="40" spans="1:21">
      <c r="A40" t="s">
        <v>152</v>
      </c>
      <c r="B40" t="s">
        <v>62</v>
      </c>
      <c r="C40" t="s">
        <v>153</v>
      </c>
      <c r="D40">
        <v>6</v>
      </c>
      <c r="E40">
        <v>36</v>
      </c>
      <c r="F40" t="s">
        <v>64</v>
      </c>
      <c r="G40" t="s">
        <v>65</v>
      </c>
      <c r="H40">
        <f>'DNA Loop Engine'!$B$5</f>
        <v>50</v>
      </c>
      <c r="I40" t="str">
        <f t="shared" si="5"/>
        <v>✅ Complete</v>
      </c>
      <c r="J40" s="11">
        <f t="shared" si="6"/>
        <v>1</v>
      </c>
      <c r="K40" s="11" t="s">
        <v>127</v>
      </c>
      <c r="L40" s="13">
        <v>0.18</v>
      </c>
      <c r="M40" s="13">
        <v>0.55000000000000004</v>
      </c>
      <c r="N40" s="13">
        <v>0.02</v>
      </c>
      <c r="O40" t="s">
        <v>151</v>
      </c>
      <c r="P40" s="7">
        <f t="shared" si="2"/>
        <v>0.18</v>
      </c>
      <c r="Q40" s="7">
        <f t="shared" si="3"/>
        <v>0.55000000000000004</v>
      </c>
      <c r="R40" s="7">
        <f t="shared" si="4"/>
        <v>0.02</v>
      </c>
      <c r="S40" s="7"/>
      <c r="T40" s="7"/>
      <c r="U40" s="7"/>
    </row>
    <row r="41" spans="1:21">
      <c r="A41" t="s">
        <v>154</v>
      </c>
      <c r="B41" t="s">
        <v>62</v>
      </c>
      <c r="C41" t="s">
        <v>155</v>
      </c>
      <c r="D41">
        <v>6</v>
      </c>
      <c r="E41">
        <v>36</v>
      </c>
      <c r="F41" t="s">
        <v>64</v>
      </c>
      <c r="G41" t="s">
        <v>65</v>
      </c>
      <c r="H41">
        <f>'DNA Loop Engine'!$B$5</f>
        <v>50</v>
      </c>
      <c r="I41" t="str">
        <f t="shared" si="5"/>
        <v>✅ Complete</v>
      </c>
      <c r="J41" s="11">
        <f t="shared" si="6"/>
        <v>1</v>
      </c>
      <c r="K41" s="11" t="s">
        <v>149</v>
      </c>
      <c r="L41" s="13">
        <v>-0.16</v>
      </c>
      <c r="M41" s="13">
        <v>0.52</v>
      </c>
      <c r="N41" s="13">
        <v>-0.04</v>
      </c>
      <c r="O41" t="s">
        <v>156</v>
      </c>
      <c r="P41" s="7">
        <f t="shared" si="2"/>
        <v>-0.16</v>
      </c>
      <c r="Q41" s="7">
        <f t="shared" si="3"/>
        <v>0.52</v>
      </c>
      <c r="R41" s="7">
        <f t="shared" si="4"/>
        <v>-0.04</v>
      </c>
      <c r="S41" s="7"/>
      <c r="T41" s="7"/>
      <c r="U41" s="7"/>
    </row>
    <row r="42" spans="1:21">
      <c r="A42" t="s">
        <v>157</v>
      </c>
      <c r="B42" t="s">
        <v>62</v>
      </c>
      <c r="C42" t="s">
        <v>158</v>
      </c>
      <c r="D42">
        <v>6</v>
      </c>
      <c r="E42">
        <v>36</v>
      </c>
      <c r="F42" t="s">
        <v>64</v>
      </c>
      <c r="G42" t="s">
        <v>65</v>
      </c>
      <c r="H42">
        <f>'DNA Loop Engine'!$B$5</f>
        <v>50</v>
      </c>
      <c r="I42" t="str">
        <f t="shared" si="5"/>
        <v>✅ Complete</v>
      </c>
      <c r="J42" s="11">
        <f t="shared" si="6"/>
        <v>1</v>
      </c>
      <c r="K42" s="11" t="s">
        <v>152</v>
      </c>
      <c r="L42" s="13">
        <v>0.16</v>
      </c>
      <c r="M42" s="13">
        <v>0.52</v>
      </c>
      <c r="N42" s="13">
        <v>-0.04</v>
      </c>
      <c r="O42" t="s">
        <v>156</v>
      </c>
      <c r="P42" s="7">
        <f t="shared" si="2"/>
        <v>0.16</v>
      </c>
      <c r="Q42" s="7">
        <f t="shared" si="3"/>
        <v>0.52</v>
      </c>
      <c r="R42" s="7">
        <f t="shared" si="4"/>
        <v>-0.04</v>
      </c>
      <c r="S42" s="7"/>
      <c r="T42" s="7"/>
      <c r="U42" s="7"/>
    </row>
    <row r="43" spans="1:21">
      <c r="A43" t="s">
        <v>159</v>
      </c>
      <c r="B43" t="s">
        <v>62</v>
      </c>
      <c r="C43" t="s">
        <v>160</v>
      </c>
      <c r="D43">
        <v>6</v>
      </c>
      <c r="E43">
        <v>36</v>
      </c>
      <c r="F43" t="s">
        <v>64</v>
      </c>
      <c r="G43" t="s">
        <v>65</v>
      </c>
      <c r="H43">
        <f>'DNA Loop Engine'!$B$5</f>
        <v>50</v>
      </c>
      <c r="I43" t="str">
        <f t="shared" si="5"/>
        <v>✅ Complete</v>
      </c>
      <c r="J43" s="11">
        <f t="shared" si="6"/>
        <v>1</v>
      </c>
      <c r="K43" s="11" t="s">
        <v>154</v>
      </c>
      <c r="L43" s="13">
        <v>-0.22</v>
      </c>
      <c r="M43" s="13">
        <v>0.48</v>
      </c>
      <c r="N43" s="13">
        <v>-0.02</v>
      </c>
      <c r="O43" t="s">
        <v>161</v>
      </c>
      <c r="P43" s="7">
        <f t="shared" si="2"/>
        <v>-0.22</v>
      </c>
      <c r="Q43" s="7">
        <f t="shared" si="3"/>
        <v>0.48</v>
      </c>
      <c r="R43" s="7">
        <f t="shared" si="4"/>
        <v>-0.02</v>
      </c>
      <c r="S43" s="7"/>
      <c r="T43" s="7"/>
      <c r="U43" s="7"/>
    </row>
    <row r="44" spans="1:21">
      <c r="A44" t="s">
        <v>162</v>
      </c>
      <c r="B44" t="s">
        <v>62</v>
      </c>
      <c r="C44" t="s">
        <v>163</v>
      </c>
      <c r="D44">
        <v>6</v>
      </c>
      <c r="E44">
        <v>36</v>
      </c>
      <c r="F44" t="s">
        <v>64</v>
      </c>
      <c r="G44" t="s">
        <v>65</v>
      </c>
      <c r="H44">
        <f>'DNA Loop Engine'!$B$5</f>
        <v>50</v>
      </c>
      <c r="I44" t="str">
        <f t="shared" si="5"/>
        <v>✅ Complete</v>
      </c>
      <c r="J44" s="11">
        <f t="shared" si="6"/>
        <v>1</v>
      </c>
      <c r="K44" s="11" t="s">
        <v>157</v>
      </c>
      <c r="L44" s="13">
        <v>0.22</v>
      </c>
      <c r="M44" s="13">
        <v>0.48</v>
      </c>
      <c r="N44" s="13">
        <v>-0.02</v>
      </c>
      <c r="O44" t="s">
        <v>161</v>
      </c>
      <c r="P44" s="7">
        <f t="shared" si="2"/>
        <v>0.22</v>
      </c>
      <c r="Q44" s="7">
        <f t="shared" si="3"/>
        <v>0.48</v>
      </c>
      <c r="R44" s="7">
        <f t="shared" si="4"/>
        <v>-0.02</v>
      </c>
      <c r="S44" s="7"/>
      <c r="T44" s="7"/>
      <c r="U44" s="7"/>
    </row>
    <row r="45" spans="1:21">
      <c r="A45" t="s">
        <v>164</v>
      </c>
      <c r="B45" t="s">
        <v>62</v>
      </c>
      <c r="C45" t="s">
        <v>165</v>
      </c>
      <c r="D45">
        <v>6</v>
      </c>
      <c r="E45">
        <v>36</v>
      </c>
      <c r="F45" t="s">
        <v>64</v>
      </c>
      <c r="G45" t="s">
        <v>65</v>
      </c>
      <c r="H45">
        <f>'DNA Loop Engine'!$B$5</f>
        <v>50</v>
      </c>
      <c r="I45" t="str">
        <f t="shared" si="5"/>
        <v>✅ Complete</v>
      </c>
      <c r="J45" s="11">
        <f t="shared" si="6"/>
        <v>1</v>
      </c>
      <c r="K45" s="11" t="s">
        <v>159</v>
      </c>
      <c r="L45" s="13">
        <v>-0.28000000000000003</v>
      </c>
      <c r="M45" s="13">
        <v>0.35</v>
      </c>
      <c r="N45" s="13">
        <v>0</v>
      </c>
      <c r="O45" t="s">
        <v>166</v>
      </c>
      <c r="P45" s="7">
        <f t="shared" si="2"/>
        <v>-0.28000000000000003</v>
      </c>
      <c r="Q45" s="7">
        <f t="shared" si="3"/>
        <v>0.35</v>
      </c>
      <c r="R45" s="7">
        <f t="shared" si="4"/>
        <v>0</v>
      </c>
      <c r="S45" s="7"/>
      <c r="T45" s="7"/>
      <c r="U45" s="7"/>
    </row>
    <row r="46" spans="1:21">
      <c r="A46" t="s">
        <v>167</v>
      </c>
      <c r="B46" t="s">
        <v>62</v>
      </c>
      <c r="C46" t="s">
        <v>168</v>
      </c>
      <c r="D46">
        <v>6</v>
      </c>
      <c r="E46">
        <v>36</v>
      </c>
      <c r="F46" t="s">
        <v>64</v>
      </c>
      <c r="G46" t="s">
        <v>65</v>
      </c>
      <c r="H46">
        <f>'DNA Loop Engine'!$B$5</f>
        <v>50</v>
      </c>
      <c r="I46" t="str">
        <f t="shared" si="5"/>
        <v>✅ Complete</v>
      </c>
      <c r="J46" s="11">
        <f t="shared" si="6"/>
        <v>1</v>
      </c>
      <c r="K46" s="11" t="s">
        <v>162</v>
      </c>
      <c r="L46" s="13">
        <v>0.28000000000000003</v>
      </c>
      <c r="M46" s="13">
        <v>0.35</v>
      </c>
      <c r="N46" s="13">
        <v>0</v>
      </c>
      <c r="O46" t="s">
        <v>166</v>
      </c>
      <c r="P46" s="7">
        <f t="shared" si="2"/>
        <v>0.28000000000000003</v>
      </c>
      <c r="Q46" s="7">
        <f t="shared" si="3"/>
        <v>0.35</v>
      </c>
      <c r="R46" s="7">
        <f t="shared" si="4"/>
        <v>0</v>
      </c>
      <c r="S46" s="7"/>
      <c r="T46" s="7"/>
      <c r="U46" s="7"/>
    </row>
    <row r="47" spans="1:21">
      <c r="A47" t="s">
        <v>169</v>
      </c>
      <c r="B47" t="s">
        <v>62</v>
      </c>
      <c r="C47" t="s">
        <v>170</v>
      </c>
      <c r="D47">
        <v>6</v>
      </c>
      <c r="E47">
        <v>36</v>
      </c>
      <c r="F47" t="s">
        <v>64</v>
      </c>
      <c r="G47" t="s">
        <v>65</v>
      </c>
      <c r="H47">
        <f>'DNA Loop Engine'!$B$5</f>
        <v>50</v>
      </c>
      <c r="I47" t="str">
        <f t="shared" si="5"/>
        <v>✅ Complete</v>
      </c>
      <c r="J47" s="11">
        <f t="shared" si="6"/>
        <v>1</v>
      </c>
      <c r="K47" s="11" t="s">
        <v>159</v>
      </c>
      <c r="L47" s="13">
        <v>-0.28000000000000003</v>
      </c>
      <c r="M47" s="13">
        <v>0.22</v>
      </c>
      <c r="N47" s="13">
        <v>0</v>
      </c>
      <c r="O47" t="s">
        <v>171</v>
      </c>
      <c r="P47" s="7">
        <f t="shared" si="2"/>
        <v>-0.28000000000000003</v>
      </c>
      <c r="Q47" s="7">
        <f t="shared" si="3"/>
        <v>0.22</v>
      </c>
      <c r="R47" s="7">
        <f t="shared" si="4"/>
        <v>0</v>
      </c>
      <c r="S47" s="7"/>
      <c r="T47" s="7"/>
      <c r="U47" s="7"/>
    </row>
    <row r="48" spans="1:21">
      <c r="A48" t="s">
        <v>172</v>
      </c>
      <c r="B48" t="s">
        <v>62</v>
      </c>
      <c r="C48" t="s">
        <v>173</v>
      </c>
      <c r="D48">
        <v>6</v>
      </c>
      <c r="E48">
        <v>36</v>
      </c>
      <c r="F48" t="s">
        <v>64</v>
      </c>
      <c r="G48" t="s">
        <v>65</v>
      </c>
      <c r="H48">
        <f>'DNA Loop Engine'!$B$5</f>
        <v>50</v>
      </c>
      <c r="I48" t="str">
        <f t="shared" si="5"/>
        <v>✅ Complete</v>
      </c>
      <c r="J48" s="11">
        <f t="shared" si="6"/>
        <v>1</v>
      </c>
      <c r="K48" s="11" t="s">
        <v>162</v>
      </c>
      <c r="L48" s="13">
        <v>0.28000000000000003</v>
      </c>
      <c r="M48" s="13">
        <v>0.22</v>
      </c>
      <c r="N48" s="13">
        <v>0</v>
      </c>
      <c r="O48" t="s">
        <v>171</v>
      </c>
      <c r="P48" s="7">
        <f t="shared" si="2"/>
        <v>0.28000000000000003</v>
      </c>
      <c r="Q48" s="7">
        <f t="shared" si="3"/>
        <v>0.22</v>
      </c>
      <c r="R48" s="7">
        <f t="shared" si="4"/>
        <v>0</v>
      </c>
      <c r="S48" s="7"/>
      <c r="T48" s="7"/>
      <c r="U48" s="7"/>
    </row>
    <row r="49" spans="1:21">
      <c r="A49" t="s">
        <v>174</v>
      </c>
      <c r="B49" t="s">
        <v>62</v>
      </c>
      <c r="C49" t="s">
        <v>175</v>
      </c>
      <c r="D49">
        <v>8</v>
      </c>
      <c r="E49">
        <v>36</v>
      </c>
      <c r="F49" t="s">
        <v>64</v>
      </c>
      <c r="G49" t="s">
        <v>65</v>
      </c>
      <c r="H49">
        <f>'DNA Loop Engine'!$B$5</f>
        <v>50</v>
      </c>
      <c r="I49" t="str">
        <f t="shared" si="5"/>
        <v>✅ Complete</v>
      </c>
      <c r="J49" s="11">
        <f t="shared" si="6"/>
        <v>1</v>
      </c>
      <c r="K49" s="11" t="s">
        <v>164</v>
      </c>
      <c r="L49" s="13">
        <v>-0.32</v>
      </c>
      <c r="M49" s="13">
        <v>0.12</v>
      </c>
      <c r="N49" s="13">
        <v>0</v>
      </c>
      <c r="O49" t="s">
        <v>176</v>
      </c>
      <c r="P49" s="7">
        <f t="shared" si="2"/>
        <v>-0.32</v>
      </c>
      <c r="Q49" s="7">
        <f t="shared" si="3"/>
        <v>0.12</v>
      </c>
      <c r="R49" s="7">
        <f t="shared" si="4"/>
        <v>0</v>
      </c>
      <c r="S49" s="7"/>
      <c r="T49" s="7"/>
      <c r="U49" s="7"/>
    </row>
    <row r="50" spans="1:21">
      <c r="A50" t="s">
        <v>177</v>
      </c>
      <c r="B50" t="s">
        <v>62</v>
      </c>
      <c r="C50" t="s">
        <v>178</v>
      </c>
      <c r="D50">
        <v>8</v>
      </c>
      <c r="E50">
        <v>36</v>
      </c>
      <c r="F50" t="s">
        <v>64</v>
      </c>
      <c r="G50" t="s">
        <v>65</v>
      </c>
      <c r="H50">
        <f>'DNA Loop Engine'!$B$5</f>
        <v>50</v>
      </c>
      <c r="I50" t="str">
        <f t="shared" si="5"/>
        <v>✅ Complete</v>
      </c>
      <c r="J50" s="11">
        <f t="shared" si="6"/>
        <v>1</v>
      </c>
      <c r="K50" s="11" t="s">
        <v>167</v>
      </c>
      <c r="L50" s="13">
        <v>0.32</v>
      </c>
      <c r="M50" s="13">
        <v>0.12</v>
      </c>
      <c r="N50" s="13">
        <v>0</v>
      </c>
      <c r="O50" t="s">
        <v>176</v>
      </c>
      <c r="P50" s="7">
        <f t="shared" si="2"/>
        <v>0.32</v>
      </c>
      <c r="Q50" s="7">
        <f t="shared" si="3"/>
        <v>0.12</v>
      </c>
      <c r="R50" s="7">
        <f t="shared" si="4"/>
        <v>0</v>
      </c>
      <c r="S50" s="7"/>
      <c r="T50" s="7"/>
      <c r="U50" s="7"/>
    </row>
    <row r="51" spans="1:21">
      <c r="A51" t="s">
        <v>179</v>
      </c>
      <c r="B51" t="s">
        <v>62</v>
      </c>
      <c r="C51" t="s">
        <v>180</v>
      </c>
      <c r="D51">
        <v>8</v>
      </c>
      <c r="E51">
        <v>36</v>
      </c>
      <c r="F51" t="s">
        <v>64</v>
      </c>
      <c r="G51" t="s">
        <v>65</v>
      </c>
      <c r="H51">
        <f>'DNA Loop Engine'!$B$5</f>
        <v>50</v>
      </c>
      <c r="I51" t="str">
        <f t="shared" si="5"/>
        <v>✅ Complete</v>
      </c>
      <c r="J51" s="11">
        <f t="shared" si="6"/>
        <v>1</v>
      </c>
      <c r="K51" s="11" t="s">
        <v>174</v>
      </c>
      <c r="L51" s="13">
        <v>-0.35</v>
      </c>
      <c r="M51" s="13">
        <v>0.05</v>
      </c>
      <c r="N51" s="13">
        <v>0</v>
      </c>
      <c r="O51" t="s">
        <v>181</v>
      </c>
      <c r="P51" s="7">
        <f t="shared" si="2"/>
        <v>-0.35</v>
      </c>
      <c r="Q51" s="7">
        <f t="shared" si="3"/>
        <v>0.05</v>
      </c>
      <c r="R51" s="7">
        <f t="shared" si="4"/>
        <v>0</v>
      </c>
      <c r="S51" s="7"/>
      <c r="T51" s="7"/>
      <c r="U51" s="7"/>
    </row>
    <row r="52" spans="1:21">
      <c r="A52" t="s">
        <v>182</v>
      </c>
      <c r="B52" t="s">
        <v>62</v>
      </c>
      <c r="C52" t="s">
        <v>183</v>
      </c>
      <c r="D52">
        <v>8</v>
      </c>
      <c r="E52">
        <v>36</v>
      </c>
      <c r="F52" t="s">
        <v>64</v>
      </c>
      <c r="G52" t="s">
        <v>65</v>
      </c>
      <c r="H52">
        <f>'DNA Loop Engine'!$B$5</f>
        <v>50</v>
      </c>
      <c r="I52" t="str">
        <f t="shared" si="5"/>
        <v>✅ Complete</v>
      </c>
      <c r="J52" s="11">
        <f t="shared" si="6"/>
        <v>1</v>
      </c>
      <c r="K52" s="11" t="s">
        <v>177</v>
      </c>
      <c r="L52" s="13">
        <v>0.35</v>
      </c>
      <c r="M52" s="13">
        <v>0.05</v>
      </c>
      <c r="N52" s="13">
        <v>0</v>
      </c>
      <c r="O52" t="s">
        <v>181</v>
      </c>
      <c r="P52" s="7">
        <f t="shared" si="2"/>
        <v>0.35</v>
      </c>
      <c r="Q52" s="7">
        <f t="shared" si="3"/>
        <v>0.05</v>
      </c>
      <c r="R52" s="7">
        <f t="shared" si="4"/>
        <v>0</v>
      </c>
      <c r="S52" s="7"/>
      <c r="T52" s="7"/>
      <c r="U52" s="7"/>
    </row>
    <row r="53" spans="1:21">
      <c r="A53" t="s">
        <v>184</v>
      </c>
      <c r="B53" t="s">
        <v>62</v>
      </c>
      <c r="C53" t="s">
        <v>185</v>
      </c>
      <c r="D53">
        <v>8</v>
      </c>
      <c r="E53">
        <v>36</v>
      </c>
      <c r="F53" t="s">
        <v>64</v>
      </c>
      <c r="G53" t="s">
        <v>65</v>
      </c>
      <c r="H53">
        <f>'DNA Loop Engine'!$B$5</f>
        <v>50</v>
      </c>
      <c r="I53" t="str">
        <f t="shared" si="5"/>
        <v>✅ Complete</v>
      </c>
      <c r="J53" s="11">
        <f t="shared" si="6"/>
        <v>1</v>
      </c>
      <c r="K53" s="11" t="s">
        <v>179</v>
      </c>
      <c r="L53" s="13">
        <v>-0.38</v>
      </c>
      <c r="M53" s="13">
        <v>-0.02</v>
      </c>
      <c r="N53" s="13">
        <v>0.02</v>
      </c>
      <c r="O53" t="s">
        <v>166</v>
      </c>
      <c r="P53" s="7">
        <f t="shared" si="2"/>
        <v>-0.38</v>
      </c>
      <c r="Q53" s="7">
        <f t="shared" si="3"/>
        <v>-0.02</v>
      </c>
      <c r="R53" s="7">
        <f t="shared" si="4"/>
        <v>0.02</v>
      </c>
      <c r="S53" s="7"/>
      <c r="T53" s="7"/>
      <c r="U53" s="7"/>
    </row>
    <row r="54" spans="1:21">
      <c r="A54" t="s">
        <v>186</v>
      </c>
      <c r="B54" t="s">
        <v>62</v>
      </c>
      <c r="C54" t="s">
        <v>187</v>
      </c>
      <c r="D54">
        <v>8</v>
      </c>
      <c r="E54">
        <v>36</v>
      </c>
      <c r="F54" t="s">
        <v>64</v>
      </c>
      <c r="G54" t="s">
        <v>65</v>
      </c>
      <c r="H54">
        <f>'DNA Loop Engine'!$B$5</f>
        <v>50</v>
      </c>
      <c r="I54" t="str">
        <f t="shared" si="5"/>
        <v>✅ Complete</v>
      </c>
      <c r="J54" s="11">
        <f t="shared" si="6"/>
        <v>1</v>
      </c>
      <c r="K54" s="11" t="s">
        <v>182</v>
      </c>
      <c r="L54" s="13">
        <v>0.38</v>
      </c>
      <c r="M54" s="13">
        <v>-0.02</v>
      </c>
      <c r="N54" s="13">
        <v>0.02</v>
      </c>
      <c r="O54" t="s">
        <v>166</v>
      </c>
      <c r="P54" s="7">
        <f t="shared" si="2"/>
        <v>0.38</v>
      </c>
      <c r="Q54" s="7">
        <f t="shared" si="3"/>
        <v>-0.02</v>
      </c>
      <c r="R54" s="7">
        <f t="shared" si="4"/>
        <v>0.02</v>
      </c>
      <c r="S54" s="7"/>
      <c r="T54" s="7"/>
      <c r="U54" s="7"/>
    </row>
    <row r="55" spans="1:21">
      <c r="A55" t="s">
        <v>188</v>
      </c>
      <c r="B55" t="s">
        <v>62</v>
      </c>
      <c r="C55" t="s">
        <v>189</v>
      </c>
      <c r="D55">
        <v>6</v>
      </c>
      <c r="E55">
        <v>36</v>
      </c>
      <c r="F55" t="s">
        <v>64</v>
      </c>
      <c r="G55" t="s">
        <v>65</v>
      </c>
      <c r="H55">
        <f>'DNA Loop Engine'!$B$5</f>
        <v>50</v>
      </c>
      <c r="I55" t="str">
        <f t="shared" si="5"/>
        <v>✅ Complete</v>
      </c>
      <c r="J55" s="11">
        <f t="shared" si="6"/>
        <v>1</v>
      </c>
      <c r="K55" s="11" t="s">
        <v>135</v>
      </c>
      <c r="L55" s="13">
        <v>-0.12</v>
      </c>
      <c r="M55" s="13">
        <v>0</v>
      </c>
      <c r="N55" s="13">
        <v>0</v>
      </c>
      <c r="O55" t="s">
        <v>137</v>
      </c>
      <c r="P55" s="7">
        <f t="shared" si="2"/>
        <v>-0.12</v>
      </c>
      <c r="Q55" s="7">
        <f t="shared" si="3"/>
        <v>0</v>
      </c>
      <c r="R55" s="7">
        <f t="shared" si="4"/>
        <v>0</v>
      </c>
      <c r="S55" s="7"/>
      <c r="T55" s="7"/>
      <c r="U55" s="7"/>
    </row>
    <row r="56" spans="1:21">
      <c r="A56" t="s">
        <v>190</v>
      </c>
      <c r="B56" t="s">
        <v>62</v>
      </c>
      <c r="C56" t="s">
        <v>191</v>
      </c>
      <c r="D56">
        <v>6</v>
      </c>
      <c r="E56">
        <v>36</v>
      </c>
      <c r="F56" t="s">
        <v>64</v>
      </c>
      <c r="G56" t="s">
        <v>65</v>
      </c>
      <c r="H56">
        <f>'DNA Loop Engine'!$B$5</f>
        <v>50</v>
      </c>
      <c r="I56" t="str">
        <f t="shared" si="5"/>
        <v>✅ Complete</v>
      </c>
      <c r="J56" s="11">
        <f t="shared" si="6"/>
        <v>1</v>
      </c>
      <c r="K56" s="11" t="s">
        <v>135</v>
      </c>
      <c r="L56" s="13">
        <v>0.12</v>
      </c>
      <c r="M56" s="13">
        <v>0</v>
      </c>
      <c r="N56" s="13">
        <v>0</v>
      </c>
      <c r="O56" t="s">
        <v>137</v>
      </c>
      <c r="P56" s="7">
        <f t="shared" si="2"/>
        <v>0.12</v>
      </c>
      <c r="Q56" s="7">
        <f t="shared" si="3"/>
        <v>0</v>
      </c>
      <c r="R56" s="7">
        <f t="shared" si="4"/>
        <v>0</v>
      </c>
      <c r="S56" s="7"/>
      <c r="T56" s="7"/>
      <c r="U56" s="7"/>
    </row>
    <row r="57" spans="1:21">
      <c r="A57" t="s">
        <v>192</v>
      </c>
      <c r="B57" t="s">
        <v>62</v>
      </c>
      <c r="C57" t="s">
        <v>193</v>
      </c>
      <c r="D57">
        <v>6</v>
      </c>
      <c r="E57">
        <v>36</v>
      </c>
      <c r="F57" t="s">
        <v>64</v>
      </c>
      <c r="G57" t="s">
        <v>65</v>
      </c>
      <c r="H57">
        <f>'DNA Loop Engine'!$B$5</f>
        <v>50</v>
      </c>
      <c r="I57" t="str">
        <f t="shared" si="5"/>
        <v>✅ Complete</v>
      </c>
      <c r="J57" s="11">
        <f t="shared" si="6"/>
        <v>1</v>
      </c>
      <c r="K57" s="11" t="s">
        <v>188</v>
      </c>
      <c r="L57" s="13">
        <v>-0.15</v>
      </c>
      <c r="M57" s="13">
        <v>-0.2</v>
      </c>
      <c r="N57" s="13">
        <v>0</v>
      </c>
      <c r="O57" t="s">
        <v>161</v>
      </c>
      <c r="P57" s="7">
        <f t="shared" si="2"/>
        <v>-0.15</v>
      </c>
      <c r="Q57" s="7">
        <f t="shared" si="3"/>
        <v>-0.2</v>
      </c>
      <c r="R57" s="7">
        <f t="shared" si="4"/>
        <v>0</v>
      </c>
      <c r="S57" s="7"/>
      <c r="T57" s="7"/>
      <c r="U57" s="7"/>
    </row>
    <row r="58" spans="1:21">
      <c r="A58" t="s">
        <v>194</v>
      </c>
      <c r="B58" t="s">
        <v>62</v>
      </c>
      <c r="C58" t="s">
        <v>195</v>
      </c>
      <c r="D58">
        <v>6</v>
      </c>
      <c r="E58">
        <v>36</v>
      </c>
      <c r="F58" t="s">
        <v>64</v>
      </c>
      <c r="G58" t="s">
        <v>65</v>
      </c>
      <c r="H58">
        <f>'DNA Loop Engine'!$B$5</f>
        <v>50</v>
      </c>
      <c r="I58" t="str">
        <f t="shared" si="5"/>
        <v>✅ Complete</v>
      </c>
      <c r="J58" s="11">
        <f t="shared" si="6"/>
        <v>1</v>
      </c>
      <c r="K58" s="11" t="s">
        <v>190</v>
      </c>
      <c r="L58" s="13">
        <v>0.15</v>
      </c>
      <c r="M58" s="13">
        <v>-0.2</v>
      </c>
      <c r="N58" s="13">
        <v>0</v>
      </c>
      <c r="O58" t="s">
        <v>161</v>
      </c>
      <c r="P58" s="7">
        <f t="shared" si="2"/>
        <v>0.15</v>
      </c>
      <c r="Q58" s="7">
        <f t="shared" si="3"/>
        <v>-0.2</v>
      </c>
      <c r="R58" s="7">
        <f t="shared" si="4"/>
        <v>0</v>
      </c>
      <c r="S58" s="7"/>
      <c r="T58" s="7"/>
      <c r="U58" s="7"/>
    </row>
    <row r="59" spans="1:21">
      <c r="A59" t="s">
        <v>196</v>
      </c>
      <c r="B59" t="s">
        <v>62</v>
      </c>
      <c r="C59" t="s">
        <v>197</v>
      </c>
      <c r="D59">
        <v>8</v>
      </c>
      <c r="E59">
        <v>36</v>
      </c>
      <c r="F59" t="s">
        <v>64</v>
      </c>
      <c r="G59" t="s">
        <v>65</v>
      </c>
      <c r="H59">
        <f>'DNA Loop Engine'!$B$5</f>
        <v>50</v>
      </c>
      <c r="I59" t="str">
        <f t="shared" si="5"/>
        <v>✅ Complete</v>
      </c>
      <c r="J59" s="11">
        <f t="shared" si="6"/>
        <v>1</v>
      </c>
      <c r="K59" s="11" t="s">
        <v>192</v>
      </c>
      <c r="L59" s="13">
        <v>-0.15</v>
      </c>
      <c r="M59" s="13">
        <v>-0.42</v>
      </c>
      <c r="N59" s="13">
        <v>0.02</v>
      </c>
      <c r="O59" t="s">
        <v>198</v>
      </c>
      <c r="P59" s="7">
        <f t="shared" si="2"/>
        <v>-0.15</v>
      </c>
      <c r="Q59" s="7">
        <f t="shared" si="3"/>
        <v>-0.42</v>
      </c>
      <c r="R59" s="7">
        <f t="shared" si="4"/>
        <v>0.02</v>
      </c>
      <c r="S59" s="7"/>
      <c r="T59" s="7"/>
      <c r="U59" s="7"/>
    </row>
    <row r="60" spans="1:21">
      <c r="A60" t="s">
        <v>199</v>
      </c>
      <c r="B60" t="s">
        <v>62</v>
      </c>
      <c r="C60" t="s">
        <v>200</v>
      </c>
      <c r="D60">
        <v>8</v>
      </c>
      <c r="E60">
        <v>36</v>
      </c>
      <c r="F60" t="s">
        <v>64</v>
      </c>
      <c r="G60" t="s">
        <v>65</v>
      </c>
      <c r="H60">
        <f>'DNA Loop Engine'!$B$5</f>
        <v>50</v>
      </c>
      <c r="I60" t="str">
        <f t="shared" si="5"/>
        <v>✅ Complete</v>
      </c>
      <c r="J60" s="11">
        <f t="shared" si="6"/>
        <v>1</v>
      </c>
      <c r="K60" s="11" t="s">
        <v>194</v>
      </c>
      <c r="L60" s="13">
        <v>0.15</v>
      </c>
      <c r="M60" s="13">
        <v>-0.42</v>
      </c>
      <c r="N60" s="13">
        <v>0.02</v>
      </c>
      <c r="O60" t="s">
        <v>198</v>
      </c>
      <c r="P60" s="7">
        <f t="shared" si="2"/>
        <v>0.15</v>
      </c>
      <c r="Q60" s="7">
        <f t="shared" si="3"/>
        <v>-0.42</v>
      </c>
      <c r="R60" s="7">
        <f t="shared" si="4"/>
        <v>0.02</v>
      </c>
      <c r="S60" s="7"/>
      <c r="T60" s="7"/>
      <c r="U60" s="7"/>
    </row>
    <row r="61" spans="1:21">
      <c r="A61" t="s">
        <v>201</v>
      </c>
      <c r="B61" t="s">
        <v>62</v>
      </c>
      <c r="C61" t="s">
        <v>202</v>
      </c>
      <c r="D61">
        <v>6</v>
      </c>
      <c r="E61">
        <v>36</v>
      </c>
      <c r="F61" t="s">
        <v>64</v>
      </c>
      <c r="G61" t="s">
        <v>65</v>
      </c>
      <c r="H61">
        <f>'DNA Loop Engine'!$B$5</f>
        <v>50</v>
      </c>
      <c r="I61" t="str">
        <f t="shared" si="5"/>
        <v>✅ Complete</v>
      </c>
      <c r="J61" s="11">
        <f t="shared" si="6"/>
        <v>1</v>
      </c>
      <c r="K61" s="11" t="s">
        <v>192</v>
      </c>
      <c r="L61" s="13">
        <v>-0.15</v>
      </c>
      <c r="M61" s="13">
        <v>-0.45</v>
      </c>
      <c r="N61" s="13">
        <v>0</v>
      </c>
      <c r="O61" t="s">
        <v>166</v>
      </c>
      <c r="P61" s="7">
        <f t="shared" si="2"/>
        <v>-0.15</v>
      </c>
      <c r="Q61" s="7">
        <f t="shared" si="3"/>
        <v>-0.45</v>
      </c>
      <c r="R61" s="7">
        <f t="shared" si="4"/>
        <v>0</v>
      </c>
      <c r="S61" s="7"/>
      <c r="T61" s="7"/>
      <c r="U61" s="7"/>
    </row>
    <row r="62" spans="1:21">
      <c r="A62" t="s">
        <v>203</v>
      </c>
      <c r="B62" t="s">
        <v>62</v>
      </c>
      <c r="C62" t="s">
        <v>204</v>
      </c>
      <c r="D62">
        <v>6</v>
      </c>
      <c r="E62">
        <v>36</v>
      </c>
      <c r="F62" t="s">
        <v>64</v>
      </c>
      <c r="G62" t="s">
        <v>65</v>
      </c>
      <c r="H62">
        <f>'DNA Loop Engine'!$B$5</f>
        <v>50</v>
      </c>
      <c r="I62" t="str">
        <f t="shared" si="5"/>
        <v>✅ Complete</v>
      </c>
      <c r="J62" s="11">
        <f t="shared" si="6"/>
        <v>1</v>
      </c>
      <c r="K62" s="11" t="s">
        <v>194</v>
      </c>
      <c r="L62" s="13">
        <v>0.15</v>
      </c>
      <c r="M62" s="13">
        <v>-0.45</v>
      </c>
      <c r="N62" s="13">
        <v>0</v>
      </c>
      <c r="O62" t="s">
        <v>166</v>
      </c>
      <c r="P62" s="7">
        <f t="shared" si="2"/>
        <v>0.15</v>
      </c>
      <c r="Q62" s="7">
        <f t="shared" si="3"/>
        <v>-0.45</v>
      </c>
      <c r="R62" s="7">
        <f t="shared" si="4"/>
        <v>0</v>
      </c>
      <c r="S62" s="7"/>
      <c r="T62" s="7"/>
      <c r="U62" s="7"/>
    </row>
    <row r="63" spans="1:21">
      <c r="A63" t="s">
        <v>205</v>
      </c>
      <c r="B63" t="s">
        <v>62</v>
      </c>
      <c r="C63" t="s">
        <v>206</v>
      </c>
      <c r="D63">
        <v>6</v>
      </c>
      <c r="E63">
        <v>36</v>
      </c>
      <c r="F63" t="s">
        <v>64</v>
      </c>
      <c r="G63" t="s">
        <v>65</v>
      </c>
      <c r="H63">
        <f>'DNA Loop Engine'!$B$5</f>
        <v>50</v>
      </c>
      <c r="I63" t="str">
        <f t="shared" si="5"/>
        <v>✅ Complete</v>
      </c>
      <c r="J63" s="11">
        <f t="shared" si="6"/>
        <v>1</v>
      </c>
      <c r="K63" s="11" t="s">
        <v>201</v>
      </c>
      <c r="L63" s="13">
        <v>-0.17</v>
      </c>
      <c r="M63" s="13">
        <v>-0.45</v>
      </c>
      <c r="N63" s="13">
        <v>0</v>
      </c>
      <c r="O63" t="s">
        <v>207</v>
      </c>
      <c r="P63" s="7">
        <f t="shared" si="2"/>
        <v>-0.17</v>
      </c>
      <c r="Q63" s="7">
        <f t="shared" si="3"/>
        <v>-0.45</v>
      </c>
      <c r="R63" s="7">
        <f t="shared" si="4"/>
        <v>0</v>
      </c>
      <c r="S63" s="7"/>
      <c r="T63" s="7"/>
      <c r="U63" s="7"/>
    </row>
    <row r="64" spans="1:21">
      <c r="A64" t="s">
        <v>208</v>
      </c>
      <c r="B64" t="s">
        <v>62</v>
      </c>
      <c r="C64" t="s">
        <v>209</v>
      </c>
      <c r="D64">
        <v>6</v>
      </c>
      <c r="E64">
        <v>36</v>
      </c>
      <c r="F64" t="s">
        <v>64</v>
      </c>
      <c r="G64" t="s">
        <v>65</v>
      </c>
      <c r="H64">
        <f>'DNA Loop Engine'!$B$5</f>
        <v>50</v>
      </c>
      <c r="I64" t="str">
        <f t="shared" si="5"/>
        <v>✅ Complete</v>
      </c>
      <c r="J64" s="11">
        <f t="shared" si="6"/>
        <v>1</v>
      </c>
      <c r="K64" s="11" t="s">
        <v>203</v>
      </c>
      <c r="L64" s="13">
        <v>0.17</v>
      </c>
      <c r="M64" s="13">
        <v>-0.45</v>
      </c>
      <c r="N64" s="13">
        <v>0</v>
      </c>
      <c r="O64" t="s">
        <v>207</v>
      </c>
      <c r="P64" s="7">
        <f t="shared" si="2"/>
        <v>0.17</v>
      </c>
      <c r="Q64" s="7">
        <f t="shared" si="3"/>
        <v>-0.45</v>
      </c>
      <c r="R64" s="7">
        <f t="shared" si="4"/>
        <v>0</v>
      </c>
      <c r="S64" s="7"/>
      <c r="T64" s="7"/>
      <c r="U64" s="7"/>
    </row>
    <row r="65" spans="1:21">
      <c r="A65" t="s">
        <v>210</v>
      </c>
      <c r="B65" t="s">
        <v>62</v>
      </c>
      <c r="C65" t="s">
        <v>211</v>
      </c>
      <c r="D65">
        <v>8</v>
      </c>
      <c r="E65">
        <v>36</v>
      </c>
      <c r="F65" t="s">
        <v>64</v>
      </c>
      <c r="G65" t="s">
        <v>65</v>
      </c>
      <c r="H65">
        <f>'DNA Loop Engine'!$B$5</f>
        <v>50</v>
      </c>
      <c r="I65" t="str">
        <f t="shared" si="5"/>
        <v>✅ Complete</v>
      </c>
      <c r="J65" s="11">
        <f t="shared" si="6"/>
        <v>1</v>
      </c>
      <c r="K65" s="11" t="s">
        <v>201</v>
      </c>
      <c r="L65" s="13">
        <v>-0.15</v>
      </c>
      <c r="M65" s="13">
        <v>-0.68</v>
      </c>
      <c r="N65" s="13">
        <v>0</v>
      </c>
      <c r="O65" t="s">
        <v>176</v>
      </c>
      <c r="P65" s="7">
        <f t="shared" si="2"/>
        <v>-0.15</v>
      </c>
      <c r="Q65" s="7">
        <f t="shared" si="3"/>
        <v>-0.68</v>
      </c>
      <c r="R65" s="7">
        <f t="shared" si="4"/>
        <v>0</v>
      </c>
      <c r="S65" s="7"/>
      <c r="T65" s="7"/>
      <c r="U65" s="7"/>
    </row>
    <row r="66" spans="1:21">
      <c r="A66" t="s">
        <v>212</v>
      </c>
      <c r="B66" t="s">
        <v>62</v>
      </c>
      <c r="C66" t="s">
        <v>213</v>
      </c>
      <c r="D66">
        <v>8</v>
      </c>
      <c r="E66">
        <v>36</v>
      </c>
      <c r="F66" t="s">
        <v>64</v>
      </c>
      <c r="G66" t="s">
        <v>65</v>
      </c>
      <c r="H66">
        <f>'DNA Loop Engine'!$B$5</f>
        <v>50</v>
      </c>
      <c r="I66" t="str">
        <f t="shared" ref="I66:I71" si="7">IF(H66&lt;D66,"⏳ Pending",IF(H66&gt;=E66,"✅ Complete","🔄 Growing"))</f>
        <v>✅ Complete</v>
      </c>
      <c r="J66" s="11">
        <f t="shared" ref="J66:J71" si="8">IF(H66&lt;D66,0,IF(H66&gt;=E66,1,(H66-D66)/(E66-D66)))</f>
        <v>1</v>
      </c>
      <c r="K66" s="11" t="s">
        <v>203</v>
      </c>
      <c r="L66" s="13">
        <v>0.15</v>
      </c>
      <c r="M66" s="13">
        <v>-0.68</v>
      </c>
      <c r="N66" s="13">
        <v>0</v>
      </c>
      <c r="O66" t="s">
        <v>176</v>
      </c>
      <c r="P66" s="7">
        <f t="shared" ref="P66:P129" si="9">L66*J66</f>
        <v>0.15</v>
      </c>
      <c r="Q66" s="7">
        <f t="shared" ref="Q66:Q129" si="10">M66*J66</f>
        <v>-0.68</v>
      </c>
      <c r="R66" s="7">
        <f t="shared" ref="R66:R129" si="11">N66*J66</f>
        <v>0</v>
      </c>
      <c r="S66" s="7"/>
      <c r="T66" s="7"/>
      <c r="U66" s="7"/>
    </row>
    <row r="67" spans="1:21">
      <c r="A67" t="s">
        <v>214</v>
      </c>
      <c r="B67" t="s">
        <v>62</v>
      </c>
      <c r="C67" t="s">
        <v>215</v>
      </c>
      <c r="D67">
        <v>8</v>
      </c>
      <c r="E67">
        <v>36</v>
      </c>
      <c r="F67" t="s">
        <v>64</v>
      </c>
      <c r="G67" t="s">
        <v>65</v>
      </c>
      <c r="H67">
        <f>'DNA Loop Engine'!$B$5</f>
        <v>50</v>
      </c>
      <c r="I67" t="str">
        <f t="shared" si="7"/>
        <v>✅ Complete</v>
      </c>
      <c r="J67" s="11">
        <f t="shared" si="8"/>
        <v>1</v>
      </c>
      <c r="K67" s="11" t="s">
        <v>210</v>
      </c>
      <c r="L67" s="13">
        <v>-0.18</v>
      </c>
      <c r="M67" s="13">
        <v>-0.72</v>
      </c>
      <c r="N67" s="13">
        <v>0</v>
      </c>
      <c r="O67" t="s">
        <v>181</v>
      </c>
      <c r="P67" s="7">
        <f t="shared" si="9"/>
        <v>-0.18</v>
      </c>
      <c r="Q67" s="7">
        <f t="shared" si="10"/>
        <v>-0.72</v>
      </c>
      <c r="R67" s="7">
        <f t="shared" si="11"/>
        <v>0</v>
      </c>
      <c r="S67" s="7"/>
      <c r="T67" s="7"/>
      <c r="U67" s="7"/>
    </row>
    <row r="68" spans="1:21">
      <c r="A68" t="s">
        <v>216</v>
      </c>
      <c r="B68" t="s">
        <v>62</v>
      </c>
      <c r="C68" t="s">
        <v>217</v>
      </c>
      <c r="D68">
        <v>8</v>
      </c>
      <c r="E68">
        <v>36</v>
      </c>
      <c r="F68" t="s">
        <v>64</v>
      </c>
      <c r="G68" t="s">
        <v>65</v>
      </c>
      <c r="H68">
        <f>'DNA Loop Engine'!$B$5</f>
        <v>50</v>
      </c>
      <c r="I68" t="str">
        <f t="shared" si="7"/>
        <v>✅ Complete</v>
      </c>
      <c r="J68" s="11">
        <f t="shared" si="8"/>
        <v>1</v>
      </c>
      <c r="K68" s="11" t="s">
        <v>212</v>
      </c>
      <c r="L68" s="13">
        <v>0.18</v>
      </c>
      <c r="M68" s="13">
        <v>-0.72</v>
      </c>
      <c r="N68" s="13">
        <v>0</v>
      </c>
      <c r="O68" t="s">
        <v>181</v>
      </c>
      <c r="P68" s="7">
        <f t="shared" si="9"/>
        <v>0.18</v>
      </c>
      <c r="Q68" s="7">
        <f t="shared" si="10"/>
        <v>-0.72</v>
      </c>
      <c r="R68" s="7">
        <f t="shared" si="11"/>
        <v>0</v>
      </c>
      <c r="S68" s="7"/>
      <c r="T68" s="7"/>
      <c r="U68" s="7"/>
    </row>
    <row r="69" spans="1:21">
      <c r="A69" t="s">
        <v>218</v>
      </c>
      <c r="B69" t="s">
        <v>62</v>
      </c>
      <c r="C69" t="s">
        <v>219</v>
      </c>
      <c r="D69">
        <v>8</v>
      </c>
      <c r="E69">
        <v>36</v>
      </c>
      <c r="F69" t="s">
        <v>64</v>
      </c>
      <c r="G69" t="s">
        <v>65</v>
      </c>
      <c r="H69">
        <f>'DNA Loop Engine'!$B$5</f>
        <v>50</v>
      </c>
      <c r="I69" t="str">
        <f t="shared" si="7"/>
        <v>✅ Complete</v>
      </c>
      <c r="J69" s="11">
        <f t="shared" si="8"/>
        <v>1</v>
      </c>
      <c r="K69" s="11" t="s">
        <v>214</v>
      </c>
      <c r="L69" s="13">
        <v>-0.2</v>
      </c>
      <c r="M69" s="13">
        <v>-0.85</v>
      </c>
      <c r="N69" s="13">
        <v>0.08</v>
      </c>
      <c r="O69" t="s">
        <v>166</v>
      </c>
      <c r="P69" s="7">
        <f t="shared" si="9"/>
        <v>-0.2</v>
      </c>
      <c r="Q69" s="7">
        <f t="shared" si="10"/>
        <v>-0.85</v>
      </c>
      <c r="R69" s="7">
        <f t="shared" si="11"/>
        <v>0.08</v>
      </c>
      <c r="S69" s="7"/>
      <c r="T69" s="7"/>
      <c r="U69" s="7"/>
    </row>
    <row r="70" spans="1:21">
      <c r="A70" t="s">
        <v>220</v>
      </c>
      <c r="B70" t="s">
        <v>62</v>
      </c>
      <c r="C70" t="s">
        <v>221</v>
      </c>
      <c r="D70">
        <v>8</v>
      </c>
      <c r="E70">
        <v>36</v>
      </c>
      <c r="F70" t="s">
        <v>64</v>
      </c>
      <c r="G70" t="s">
        <v>65</v>
      </c>
      <c r="H70">
        <f>'DNA Loop Engine'!$B$5</f>
        <v>50</v>
      </c>
      <c r="I70" t="str">
        <f t="shared" si="7"/>
        <v>✅ Complete</v>
      </c>
      <c r="J70" s="11">
        <f t="shared" si="8"/>
        <v>1</v>
      </c>
      <c r="K70" s="11" t="s">
        <v>216</v>
      </c>
      <c r="L70" s="13">
        <v>0.2</v>
      </c>
      <c r="M70" s="13">
        <v>-0.85</v>
      </c>
      <c r="N70" s="13">
        <v>0.08</v>
      </c>
      <c r="O70" t="s">
        <v>166</v>
      </c>
      <c r="P70" s="7">
        <f t="shared" si="9"/>
        <v>0.2</v>
      </c>
      <c r="Q70" s="7">
        <f t="shared" si="10"/>
        <v>-0.85</v>
      </c>
      <c r="R70" s="7">
        <f t="shared" si="11"/>
        <v>0.08</v>
      </c>
      <c r="S70" s="7"/>
      <c r="T70" s="7"/>
      <c r="U70" s="7"/>
    </row>
    <row r="71" spans="1:21">
      <c r="A71" t="s">
        <v>222</v>
      </c>
      <c r="B71" t="s">
        <v>223</v>
      </c>
      <c r="C71" t="s">
        <v>224</v>
      </c>
      <c r="D71">
        <v>3</v>
      </c>
      <c r="E71">
        <v>20</v>
      </c>
      <c r="F71" t="s">
        <v>64</v>
      </c>
      <c r="G71" t="s">
        <v>65</v>
      </c>
      <c r="H71">
        <f>'DNA Loop Engine'!$B$5</f>
        <v>50</v>
      </c>
      <c r="I71" s="12" t="str">
        <f t="shared" si="7"/>
        <v>✅ Complete</v>
      </c>
      <c r="J71" s="11">
        <f t="shared" si="8"/>
        <v>1</v>
      </c>
      <c r="K71" s="11" t="s">
        <v>66</v>
      </c>
      <c r="L71" s="13">
        <v>0</v>
      </c>
      <c r="M71" s="13">
        <v>0.38</v>
      </c>
      <c r="N71" s="13">
        <v>0.04</v>
      </c>
      <c r="O71" t="s">
        <v>126</v>
      </c>
      <c r="P71" s="7">
        <f t="shared" si="9"/>
        <v>0</v>
      </c>
      <c r="Q71" s="7">
        <f t="shared" si="10"/>
        <v>0.38</v>
      </c>
      <c r="R71" s="7">
        <f t="shared" si="11"/>
        <v>0.04</v>
      </c>
      <c r="S71" s="7"/>
      <c r="T71" s="7"/>
      <c r="U71" s="7"/>
    </row>
    <row r="72" spans="1:21">
      <c r="A72" t="s">
        <v>225</v>
      </c>
      <c r="B72" t="s">
        <v>223</v>
      </c>
      <c r="C72" t="s">
        <v>226</v>
      </c>
      <c r="D72">
        <v>28</v>
      </c>
      <c r="E72">
        <v>36</v>
      </c>
      <c r="F72" t="s">
        <v>64</v>
      </c>
      <c r="G72" t="s">
        <v>65</v>
      </c>
      <c r="H72">
        <f>'DNA Loop Engine'!$B$5</f>
        <v>50</v>
      </c>
      <c r="I72" s="12" t="str">
        <f>IF(H72&lt;D72,"⏳ Pending",IF(H72&gt;=E72,"✅ Complete","🔄 Growing"))</f>
        <v>✅ Complete</v>
      </c>
      <c r="J72" s="11">
        <f>IF(H72&lt;D72,0,IF(H72&gt;=E72,1,(H72-D72)/(E72-D72)))</f>
        <v>1</v>
      </c>
      <c r="K72" s="11" t="s">
        <v>66</v>
      </c>
      <c r="L72" s="13">
        <v>0</v>
      </c>
      <c r="M72" s="13">
        <v>0.32</v>
      </c>
      <c r="N72" s="13">
        <v>0</v>
      </c>
      <c r="O72" t="s">
        <v>126</v>
      </c>
      <c r="P72" s="7">
        <f t="shared" si="9"/>
        <v>0</v>
      </c>
      <c r="Q72" s="7">
        <f t="shared" si="10"/>
        <v>0.32</v>
      </c>
      <c r="R72" s="7">
        <f t="shared" si="11"/>
        <v>0</v>
      </c>
      <c r="S72" s="7"/>
      <c r="T72" s="7"/>
      <c r="U72" s="7"/>
    </row>
    <row r="73" spans="1:21">
      <c r="A73" t="s">
        <v>227</v>
      </c>
      <c r="B73" t="s">
        <v>223</v>
      </c>
      <c r="C73" t="s">
        <v>228</v>
      </c>
      <c r="D73">
        <v>4</v>
      </c>
      <c r="E73">
        <v>20</v>
      </c>
      <c r="F73" t="s">
        <v>64</v>
      </c>
      <c r="G73" t="s">
        <v>65</v>
      </c>
      <c r="H73">
        <f>'DNA Loop Engine'!$B$5</f>
        <v>50</v>
      </c>
      <c r="I73" s="12" t="str">
        <f>IF(H73&lt;D73,"⏳ Pending",IF(H73&gt;=E73,"✅ Complete","🔄 Growing"))</f>
        <v>✅ Complete</v>
      </c>
      <c r="J73" s="11">
        <f>IF(H73&lt;D73,0,IF(H73&gt;=E73,1,(H73-D73)/(E73-D73)))</f>
        <v>1</v>
      </c>
      <c r="K73" s="11" t="s">
        <v>66</v>
      </c>
      <c r="L73" s="13">
        <v>0.08</v>
      </c>
      <c r="M73" s="13">
        <v>0.3</v>
      </c>
      <c r="N73" s="13">
        <v>0.02</v>
      </c>
      <c r="O73" t="s">
        <v>229</v>
      </c>
      <c r="P73" s="7">
        <f t="shared" si="9"/>
        <v>0.08</v>
      </c>
      <c r="Q73" s="7">
        <f t="shared" si="10"/>
        <v>0.3</v>
      </c>
      <c r="R73" s="7">
        <f t="shared" si="11"/>
        <v>0.02</v>
      </c>
      <c r="S73" s="7"/>
      <c r="T73" s="7"/>
      <c r="U73" s="7"/>
    </row>
    <row r="74" spans="1:21">
      <c r="A74" t="s">
        <v>230</v>
      </c>
      <c r="B74" t="s">
        <v>223</v>
      </c>
      <c r="C74" t="s">
        <v>231</v>
      </c>
      <c r="D74">
        <v>6</v>
      </c>
      <c r="E74">
        <v>20</v>
      </c>
      <c r="F74" t="s">
        <v>64</v>
      </c>
      <c r="G74" t="s">
        <v>65</v>
      </c>
      <c r="H74">
        <f>'DNA Loop Engine'!$B$5</f>
        <v>50</v>
      </c>
      <c r="I74" s="12" t="str">
        <f>IF(H74&lt;D74,"⏳ Pending",IF(H74&gt;=E74,"✅ Complete","🔄 Growing"))</f>
        <v>✅ Complete</v>
      </c>
      <c r="J74" s="11">
        <f>IF(H74&lt;D74,0,IF(H74&gt;=E74,1,(H74-D74)/(E74-D74)))</f>
        <v>1</v>
      </c>
      <c r="K74" s="11" t="s">
        <v>66</v>
      </c>
      <c r="L74" s="13">
        <v>0</v>
      </c>
      <c r="M74" s="13">
        <v>0.25</v>
      </c>
      <c r="N74" s="13">
        <v>0</v>
      </c>
      <c r="O74" t="s">
        <v>229</v>
      </c>
      <c r="P74" s="7">
        <f t="shared" si="9"/>
        <v>0</v>
      </c>
      <c r="Q74" s="7">
        <f t="shared" si="10"/>
        <v>0.25</v>
      </c>
      <c r="R74" s="7">
        <f t="shared" si="11"/>
        <v>0</v>
      </c>
      <c r="S74" s="7"/>
      <c r="T74" s="7"/>
      <c r="U74" s="7"/>
    </row>
    <row r="75" spans="1:21">
      <c r="A75" t="s">
        <v>232</v>
      </c>
      <c r="B75" t="s">
        <v>223</v>
      </c>
      <c r="C75" t="s">
        <v>233</v>
      </c>
      <c r="D75">
        <v>6</v>
      </c>
      <c r="E75">
        <v>28</v>
      </c>
      <c r="F75" t="s">
        <v>64</v>
      </c>
      <c r="G75" t="s">
        <v>65</v>
      </c>
      <c r="H75">
        <f>'DNA Loop Engine'!$B$5</f>
        <v>50</v>
      </c>
      <c r="I75" s="12" t="str">
        <f>IF(H75&lt;D75,"⏳ Pending",IF(H75&gt;=E75,"✅ Complete","🔄 Growing"))</f>
        <v>✅ Complete</v>
      </c>
      <c r="J75" s="11">
        <f>IF(H75&lt;D75,0,IF(H75&gt;=E75,1,(H75-D75)/(E75-D75)))</f>
        <v>1</v>
      </c>
      <c r="K75" s="11" t="s">
        <v>66</v>
      </c>
      <c r="L75" s="13">
        <v>0</v>
      </c>
      <c r="M75" s="13">
        <v>0.15</v>
      </c>
      <c r="N75" s="13">
        <v>-0.02</v>
      </c>
      <c r="O75" t="s">
        <v>234</v>
      </c>
      <c r="P75" s="7">
        <f t="shared" si="9"/>
        <v>0</v>
      </c>
      <c r="Q75" s="7">
        <f t="shared" si="10"/>
        <v>0.15</v>
      </c>
      <c r="R75" s="7">
        <f t="shared" si="11"/>
        <v>-0.02</v>
      </c>
      <c r="S75" s="7"/>
      <c r="T75" s="7"/>
      <c r="U75" s="7"/>
    </row>
    <row r="76" spans="1:21">
      <c r="A76" t="s">
        <v>235</v>
      </c>
      <c r="B76" t="s">
        <v>223</v>
      </c>
      <c r="C76" t="s">
        <v>236</v>
      </c>
      <c r="D76">
        <v>6</v>
      </c>
      <c r="E76">
        <v>28</v>
      </c>
      <c r="F76" t="s">
        <v>64</v>
      </c>
      <c r="G76" t="s">
        <v>65</v>
      </c>
      <c r="H76">
        <f>'DNA Loop Engine'!$B$5</f>
        <v>50</v>
      </c>
      <c r="I76" s="12" t="str">
        <f>IF(H76&lt;D76,"⏳ Pending",IF(H76&gt;=E76,"✅ Complete","🔄 Growing"))</f>
        <v>✅ Complete</v>
      </c>
      <c r="J76" s="11">
        <f>IF(H76&lt;D76,0,IF(H76&gt;=E76,1,(H76-D76)/(E76-D76)))</f>
        <v>1</v>
      </c>
      <c r="K76" s="11" t="s">
        <v>66</v>
      </c>
      <c r="L76" s="13">
        <v>0</v>
      </c>
      <c r="M76" s="13">
        <v>0.08</v>
      </c>
      <c r="N76" s="13">
        <v>-0.04</v>
      </c>
      <c r="O76" t="s">
        <v>234</v>
      </c>
      <c r="P76" s="7">
        <f t="shared" si="9"/>
        <v>0</v>
      </c>
      <c r="Q76" s="7">
        <f t="shared" si="10"/>
        <v>0.08</v>
      </c>
      <c r="R76" s="7">
        <f t="shared" si="11"/>
        <v>-0.04</v>
      </c>
      <c r="S76" s="7"/>
      <c r="T76" s="7"/>
      <c r="U76" s="7"/>
    </row>
    <row r="77" spans="1:21">
      <c r="A77" t="s">
        <v>237</v>
      </c>
      <c r="B77" t="s">
        <v>223</v>
      </c>
      <c r="C77" t="s">
        <v>238</v>
      </c>
      <c r="D77">
        <v>6</v>
      </c>
      <c r="E77">
        <v>20</v>
      </c>
      <c r="F77" t="s">
        <v>64</v>
      </c>
      <c r="G77" t="s">
        <v>65</v>
      </c>
      <c r="H77">
        <f>'DNA Loop Engine'!$B$5</f>
        <v>50</v>
      </c>
      <c r="I77" s="12" t="str">
        <f>IF(H77&lt;D77,"⏳ Pending",IF(H77&gt;=E77,"✅ Complete","🔄 Growing"))</f>
        <v>✅ Complete</v>
      </c>
      <c r="J77" s="11">
        <f>IF(H77&lt;D77,0,IF(H77&gt;=E77,1,(H77-D77)/(E77-D77)))</f>
        <v>1</v>
      </c>
      <c r="K77" s="11" t="s">
        <v>66</v>
      </c>
      <c r="L77" s="13">
        <v>0.05</v>
      </c>
      <c r="M77" s="13">
        <v>0.28000000000000003</v>
      </c>
      <c r="N77" s="13">
        <v>0</v>
      </c>
      <c r="O77" t="s">
        <v>229</v>
      </c>
      <c r="P77" s="7">
        <f t="shared" si="9"/>
        <v>0.05</v>
      </c>
      <c r="Q77" s="7">
        <f t="shared" si="10"/>
        <v>0.28000000000000003</v>
      </c>
      <c r="R77" s="7">
        <f t="shared" si="11"/>
        <v>0</v>
      </c>
      <c r="S77" s="7"/>
      <c r="T77" s="7"/>
      <c r="U77" s="7"/>
    </row>
    <row r="78" spans="1:21">
      <c r="A78" t="s">
        <v>239</v>
      </c>
      <c r="B78" t="s">
        <v>223</v>
      </c>
      <c r="C78" t="s">
        <v>240</v>
      </c>
      <c r="D78">
        <v>6</v>
      </c>
      <c r="E78">
        <v>20</v>
      </c>
      <c r="F78" t="s">
        <v>64</v>
      </c>
      <c r="G78" t="s">
        <v>65</v>
      </c>
      <c r="H78">
        <f>'DNA Loop Engine'!$B$5</f>
        <v>50</v>
      </c>
      <c r="I78" s="12" t="str">
        <f>IF(H78&lt;D78,"⏳ Pending",IF(H78&gt;=E78,"✅ Complete","🔄 Growing"))</f>
        <v>✅ Complete</v>
      </c>
      <c r="J78" s="11">
        <f>IF(H78&lt;D78,0,IF(H78&gt;=E78,1,(H78-D78)/(E78-D78)))</f>
        <v>1</v>
      </c>
      <c r="K78" s="11" t="s">
        <v>66</v>
      </c>
      <c r="L78" s="13">
        <v>0.06</v>
      </c>
      <c r="M78" s="13">
        <v>0.26</v>
      </c>
      <c r="N78" s="13">
        <v>0.02</v>
      </c>
      <c r="O78" t="s">
        <v>229</v>
      </c>
      <c r="P78" s="7">
        <f t="shared" si="9"/>
        <v>0.06</v>
      </c>
      <c r="Q78" s="7">
        <f t="shared" si="10"/>
        <v>0.26</v>
      </c>
      <c r="R78" s="7">
        <f t="shared" si="11"/>
        <v>0.02</v>
      </c>
      <c r="S78" s="7"/>
      <c r="T78" s="7"/>
      <c r="U78" s="7"/>
    </row>
    <row r="79" spans="1:21">
      <c r="A79" t="s">
        <v>241</v>
      </c>
      <c r="B79" t="s">
        <v>223</v>
      </c>
      <c r="C79" t="s">
        <v>242</v>
      </c>
      <c r="D79">
        <v>6</v>
      </c>
      <c r="E79">
        <v>28</v>
      </c>
      <c r="F79" t="s">
        <v>64</v>
      </c>
      <c r="G79" t="s">
        <v>65</v>
      </c>
      <c r="H79">
        <f>'DNA Loop Engine'!$B$5</f>
        <v>50</v>
      </c>
      <c r="I79" s="12" t="str">
        <f>IF(H79&lt;D79,"⏳ Pending",IF(H79&gt;=E79,"✅ Complete","🔄 Growing"))</f>
        <v>✅ Complete</v>
      </c>
      <c r="J79" s="11">
        <f>IF(H79&lt;D79,0,IF(H79&gt;=E79,1,(H79-D79)/(E79-D79)))</f>
        <v>1</v>
      </c>
      <c r="K79" s="11" t="s">
        <v>66</v>
      </c>
      <c r="L79" s="13">
        <v>-0.08</v>
      </c>
      <c r="M79" s="13">
        <v>0.18</v>
      </c>
      <c r="N79" s="13">
        <v>-0.02</v>
      </c>
      <c r="O79" t="s">
        <v>243</v>
      </c>
      <c r="P79" s="7">
        <f t="shared" si="9"/>
        <v>-0.08</v>
      </c>
      <c r="Q79" s="7">
        <f t="shared" si="10"/>
        <v>0.18</v>
      </c>
      <c r="R79" s="7">
        <f t="shared" si="11"/>
        <v>-0.02</v>
      </c>
      <c r="S79" s="7"/>
      <c r="T79" s="7"/>
      <c r="U79" s="7"/>
    </row>
    <row r="80" spans="1:21">
      <c r="A80" t="s">
        <v>244</v>
      </c>
      <c r="B80" t="s">
        <v>223</v>
      </c>
      <c r="C80" t="s">
        <v>245</v>
      </c>
      <c r="D80">
        <v>8</v>
      </c>
      <c r="E80">
        <v>28</v>
      </c>
      <c r="F80" t="s">
        <v>64</v>
      </c>
      <c r="G80" t="s">
        <v>65</v>
      </c>
      <c r="H80">
        <f>'DNA Loop Engine'!$B$5</f>
        <v>50</v>
      </c>
      <c r="I80" s="12" t="str">
        <f>IF(H80&lt;D80,"⏳ Pending",IF(H80&gt;=E80,"✅ Complete","🔄 Growing"))</f>
        <v>✅ Complete</v>
      </c>
      <c r="J80" s="11">
        <f>IF(H80&lt;D80,0,IF(H80&gt;=E80,1,(H80-D80)/(E80-D80)))</f>
        <v>1</v>
      </c>
      <c r="K80" s="11" t="s">
        <v>66</v>
      </c>
      <c r="L80" s="13">
        <v>0</v>
      </c>
      <c r="M80" s="13">
        <v>0.02</v>
      </c>
      <c r="N80" s="13">
        <v>0</v>
      </c>
      <c r="O80" t="s">
        <v>229</v>
      </c>
      <c r="P80" s="7">
        <f t="shared" si="9"/>
        <v>0</v>
      </c>
      <c r="Q80" s="7">
        <f t="shared" si="10"/>
        <v>0.02</v>
      </c>
      <c r="R80" s="7">
        <f t="shared" si="11"/>
        <v>0</v>
      </c>
      <c r="S80" s="7"/>
      <c r="T80" s="7"/>
      <c r="U80" s="7"/>
    </row>
    <row r="81" spans="1:21">
      <c r="A81" t="s">
        <v>246</v>
      </c>
      <c r="B81" t="s">
        <v>223</v>
      </c>
      <c r="C81" t="s">
        <v>247</v>
      </c>
      <c r="D81">
        <v>8</v>
      </c>
      <c r="E81">
        <v>28</v>
      </c>
      <c r="F81" t="s">
        <v>64</v>
      </c>
      <c r="G81" t="s">
        <v>65</v>
      </c>
      <c r="H81">
        <f>'DNA Loop Engine'!$B$5</f>
        <v>50</v>
      </c>
      <c r="I81" s="12" t="str">
        <f>IF(H81&lt;D81,"⏳ Pending",IF(H81&gt;=E81,"✅ Complete","🔄 Growing"))</f>
        <v>✅ Complete</v>
      </c>
      <c r="J81" s="11">
        <f>IF(H81&lt;D81,0,IF(H81&gt;=E81,1,(H81-D81)/(E81-D81)))</f>
        <v>1</v>
      </c>
      <c r="K81" s="11" t="s">
        <v>66</v>
      </c>
      <c r="L81" s="13">
        <v>0</v>
      </c>
      <c r="M81" s="13">
        <v>0</v>
      </c>
      <c r="N81" s="13">
        <v>0</v>
      </c>
      <c r="O81" t="s">
        <v>229</v>
      </c>
      <c r="P81" s="7">
        <f t="shared" si="9"/>
        <v>0</v>
      </c>
      <c r="Q81" s="7">
        <f t="shared" si="10"/>
        <v>0</v>
      </c>
      <c r="R81" s="7">
        <f t="shared" si="11"/>
        <v>0</v>
      </c>
      <c r="S81" s="7"/>
      <c r="T81" s="7"/>
      <c r="U81" s="7"/>
    </row>
    <row r="82" spans="1:21">
      <c r="A82" t="s">
        <v>248</v>
      </c>
      <c r="B82" t="s">
        <v>223</v>
      </c>
      <c r="C82" t="s">
        <v>249</v>
      </c>
      <c r="D82">
        <v>6</v>
      </c>
      <c r="E82">
        <v>28</v>
      </c>
      <c r="F82" t="s">
        <v>64</v>
      </c>
      <c r="G82" t="s">
        <v>65</v>
      </c>
      <c r="H82">
        <f>'DNA Loop Engine'!$B$5</f>
        <v>50</v>
      </c>
      <c r="I82" s="12" t="str">
        <f>IF(H82&lt;D82,"⏳ Pending",IF(H82&gt;=E82,"✅ Complete","🔄 Growing"))</f>
        <v>✅ Complete</v>
      </c>
      <c r="J82" s="11">
        <f>IF(H82&lt;D82,0,IF(H82&gt;=E82,1,(H82-D82)/(E82-D82)))</f>
        <v>1</v>
      </c>
      <c r="K82" s="11" t="s">
        <v>66</v>
      </c>
      <c r="L82" s="13">
        <v>-0.06</v>
      </c>
      <c r="M82" s="13">
        <v>-0.02</v>
      </c>
      <c r="N82" s="13">
        <v>-0.02</v>
      </c>
      <c r="O82" t="s">
        <v>229</v>
      </c>
      <c r="P82" s="7">
        <f t="shared" si="9"/>
        <v>-0.06</v>
      </c>
      <c r="Q82" s="7">
        <f t="shared" si="10"/>
        <v>-0.02</v>
      </c>
      <c r="R82" s="7">
        <f t="shared" si="11"/>
        <v>-0.02</v>
      </c>
      <c r="S82" s="7"/>
      <c r="T82" s="7"/>
      <c r="U82" s="7"/>
    </row>
    <row r="83" spans="1:21">
      <c r="A83" t="s">
        <v>250</v>
      </c>
      <c r="B83" t="s">
        <v>223</v>
      </c>
      <c r="C83" t="s">
        <v>251</v>
      </c>
      <c r="D83">
        <v>8</v>
      </c>
      <c r="E83">
        <v>28</v>
      </c>
      <c r="F83" t="s">
        <v>64</v>
      </c>
      <c r="G83" t="s">
        <v>65</v>
      </c>
      <c r="H83">
        <f>'DNA Loop Engine'!$B$5</f>
        <v>50</v>
      </c>
      <c r="I83" s="12" t="str">
        <f>IF(H83&lt;D83,"⏳ Pending",IF(H83&gt;=E83,"✅ Complete","🔄 Growing"))</f>
        <v>✅ Complete</v>
      </c>
      <c r="J83" s="11">
        <f>IF(H83&lt;D83,0,IF(H83&gt;=E83,1,(H83-D83)/(E83-D83)))</f>
        <v>1</v>
      </c>
      <c r="K83" s="11" t="s">
        <v>66</v>
      </c>
      <c r="L83" s="13">
        <v>0</v>
      </c>
      <c r="M83" s="13">
        <v>0.45</v>
      </c>
      <c r="N83" s="13">
        <v>0</v>
      </c>
      <c r="O83" t="s">
        <v>252</v>
      </c>
      <c r="P83" s="7">
        <f t="shared" si="9"/>
        <v>0</v>
      </c>
      <c r="Q83" s="7">
        <f t="shared" si="10"/>
        <v>0.45</v>
      </c>
      <c r="R83" s="7">
        <f t="shared" si="11"/>
        <v>0</v>
      </c>
      <c r="S83" s="7"/>
      <c r="T83" s="7"/>
      <c r="U83" s="7"/>
    </row>
    <row r="84" spans="1:21">
      <c r="A84" t="s">
        <v>253</v>
      </c>
      <c r="B84" t="s">
        <v>223</v>
      </c>
      <c r="C84" t="s">
        <v>254</v>
      </c>
      <c r="D84">
        <v>4</v>
      </c>
      <c r="E84">
        <v>36</v>
      </c>
      <c r="F84" t="s">
        <v>255</v>
      </c>
      <c r="G84" t="s">
        <v>256</v>
      </c>
      <c r="H84">
        <f>'DNA Loop Engine'!$B$5</f>
        <v>50</v>
      </c>
      <c r="I84" s="12" t="str">
        <f>IF(H84&lt;D84,"⏳ Pending",IF(H84&gt;=E84,"✅ Complete","🔄 Growing"))</f>
        <v>✅ Complete</v>
      </c>
      <c r="J84" s="11">
        <f>IF(H84&lt;D84,0,IF(H84&gt;=E84,1,(H84-D84)/(E84-D84)))</f>
        <v>1</v>
      </c>
      <c r="K84" s="11" t="s">
        <v>66</v>
      </c>
      <c r="L84" s="13">
        <v>0</v>
      </c>
      <c r="M84" s="13">
        <v>0.82</v>
      </c>
      <c r="N84" s="13">
        <v>0</v>
      </c>
      <c r="O84" t="s">
        <v>257</v>
      </c>
      <c r="P84" s="7">
        <f t="shared" si="9"/>
        <v>0</v>
      </c>
      <c r="Q84" s="7">
        <f t="shared" si="10"/>
        <v>0.82</v>
      </c>
      <c r="R84" s="7">
        <f t="shared" si="11"/>
        <v>0</v>
      </c>
      <c r="S84" s="7"/>
      <c r="T84" s="7"/>
      <c r="U84" s="7"/>
    </row>
    <row r="85" spans="1:21">
      <c r="A85" t="s">
        <v>258</v>
      </c>
      <c r="B85" t="s">
        <v>223</v>
      </c>
      <c r="C85" t="s">
        <v>259</v>
      </c>
      <c r="D85">
        <v>12</v>
      </c>
      <c r="E85">
        <v>32</v>
      </c>
      <c r="F85" t="s">
        <v>255</v>
      </c>
      <c r="G85" t="s">
        <v>256</v>
      </c>
      <c r="H85">
        <f>'DNA Loop Engine'!$B$5</f>
        <v>50</v>
      </c>
      <c r="I85" s="12" t="str">
        <f>IF(H85&lt;D85,"⏳ Pending",IF(H85&gt;=E85,"✅ Complete","🔄 Growing"))</f>
        <v>✅ Complete</v>
      </c>
      <c r="J85" s="11">
        <f>IF(H85&lt;D85,0,IF(H85&gt;=E85,1,(H85-D85)/(E85-D85)))</f>
        <v>1</v>
      </c>
      <c r="K85" s="11" t="s">
        <v>66</v>
      </c>
      <c r="L85" s="13">
        <v>0</v>
      </c>
      <c r="M85" s="13">
        <v>0.75</v>
      </c>
      <c r="N85" s="13">
        <v>-0.02</v>
      </c>
      <c r="O85" t="s">
        <v>257</v>
      </c>
      <c r="P85" s="7">
        <f t="shared" si="9"/>
        <v>0</v>
      </c>
      <c r="Q85" s="7">
        <f t="shared" si="10"/>
        <v>0.75</v>
      </c>
      <c r="R85" s="7">
        <f t="shared" si="11"/>
        <v>-0.02</v>
      </c>
      <c r="S85" s="7"/>
      <c r="T85" s="7"/>
      <c r="U85" s="7"/>
    </row>
    <row r="86" spans="1:21">
      <c r="A86" t="s">
        <v>260</v>
      </c>
      <c r="B86" t="s">
        <v>223</v>
      </c>
      <c r="C86" t="s">
        <v>261</v>
      </c>
      <c r="D86">
        <v>4</v>
      </c>
      <c r="E86">
        <v>20</v>
      </c>
      <c r="F86" t="s">
        <v>64</v>
      </c>
      <c r="G86" t="s">
        <v>256</v>
      </c>
      <c r="H86">
        <f>'DNA Loop Engine'!$B$5</f>
        <v>50</v>
      </c>
      <c r="I86" s="12" t="str">
        <f>IF(H86&lt;D86,"⏳ Pending",IF(H86&gt;=E86,"✅ Complete","🔄 Growing"))</f>
        <v>✅ Complete</v>
      </c>
      <c r="J86" s="11">
        <f>IF(H86&lt;D86,0,IF(H86&gt;=E86,1,(H86-D86)/(E86-D86)))</f>
        <v>1</v>
      </c>
      <c r="K86" s="11" t="s">
        <v>66</v>
      </c>
      <c r="L86" s="13">
        <v>0</v>
      </c>
      <c r="M86" s="13">
        <v>0.7</v>
      </c>
      <c r="N86" s="13">
        <v>-0.04</v>
      </c>
      <c r="O86" t="s">
        <v>257</v>
      </c>
      <c r="P86" s="7">
        <f t="shared" si="9"/>
        <v>0</v>
      </c>
      <c r="Q86" s="7">
        <f t="shared" si="10"/>
        <v>0.7</v>
      </c>
      <c r="R86" s="7">
        <f t="shared" si="11"/>
        <v>-0.04</v>
      </c>
      <c r="S86" s="7"/>
      <c r="T86" s="7"/>
      <c r="U86" s="7"/>
    </row>
    <row r="87" spans="1:21">
      <c r="A87" t="s">
        <v>262</v>
      </c>
      <c r="B87" t="s">
        <v>223</v>
      </c>
      <c r="C87" t="s">
        <v>263</v>
      </c>
      <c r="D87">
        <v>4</v>
      </c>
      <c r="E87">
        <v>20</v>
      </c>
      <c r="F87" t="s">
        <v>64</v>
      </c>
      <c r="G87" t="s">
        <v>256</v>
      </c>
      <c r="H87">
        <f>'DNA Loop Engine'!$B$5</f>
        <v>50</v>
      </c>
      <c r="I87" s="12" t="str">
        <f>IF(H87&lt;D87,"⏳ Pending",IF(H87&gt;=E87,"✅ Complete","🔄 Growing"))</f>
        <v>✅ Complete</v>
      </c>
      <c r="J87" s="11">
        <f>IF(H87&lt;D87,0,IF(H87&gt;=E87,1,(H87-D87)/(E87-D87)))</f>
        <v>1</v>
      </c>
      <c r="K87" s="11" t="s">
        <v>66</v>
      </c>
      <c r="L87" s="13">
        <v>0</v>
      </c>
      <c r="M87" s="13">
        <v>0.5</v>
      </c>
      <c r="N87" s="13">
        <v>-0.04</v>
      </c>
      <c r="O87" t="s">
        <v>264</v>
      </c>
      <c r="P87" s="7">
        <f t="shared" si="9"/>
        <v>0</v>
      </c>
      <c r="Q87" s="7">
        <f t="shared" si="10"/>
        <v>0.5</v>
      </c>
      <c r="R87" s="7">
        <f t="shared" si="11"/>
        <v>-0.04</v>
      </c>
      <c r="S87" s="7"/>
      <c r="T87" s="7"/>
      <c r="U87" s="7"/>
    </row>
    <row r="88" spans="1:21">
      <c r="A88" t="s">
        <v>265</v>
      </c>
      <c r="B88" t="s">
        <v>223</v>
      </c>
      <c r="C88" t="s">
        <v>266</v>
      </c>
      <c r="D88">
        <v>8</v>
      </c>
      <c r="E88">
        <v>28</v>
      </c>
      <c r="F88" t="s">
        <v>64</v>
      </c>
      <c r="G88" t="s">
        <v>267</v>
      </c>
      <c r="H88">
        <f>'DNA Loop Engine'!$B$5</f>
        <v>50</v>
      </c>
      <c r="I88" s="12" t="str">
        <f>IF(H88&lt;D88,"⏳ Pending",IF(H88&gt;=E88,"✅ Complete","🔄 Growing"))</f>
        <v>✅ Complete</v>
      </c>
      <c r="J88" s="11">
        <f>IF(H88&lt;D88,0,IF(H88&gt;=E88,1,(H88-D88)/(E88-D88)))</f>
        <v>1</v>
      </c>
      <c r="K88" s="11" t="s">
        <v>66</v>
      </c>
      <c r="L88" s="13">
        <v>0</v>
      </c>
      <c r="M88" s="13">
        <v>0.78</v>
      </c>
      <c r="N88" s="13">
        <v>0</v>
      </c>
      <c r="O88" t="s">
        <v>126</v>
      </c>
      <c r="P88" s="7">
        <f t="shared" si="9"/>
        <v>0</v>
      </c>
      <c r="Q88" s="7">
        <f t="shared" si="10"/>
        <v>0.78</v>
      </c>
      <c r="R88" s="7">
        <f t="shared" si="11"/>
        <v>0</v>
      </c>
      <c r="S88" s="7"/>
      <c r="T88" s="7"/>
      <c r="U88" s="7"/>
    </row>
    <row r="89" spans="1:21">
      <c r="A89" t="s">
        <v>268</v>
      </c>
      <c r="B89" t="s">
        <v>223</v>
      </c>
      <c r="C89" t="s">
        <v>269</v>
      </c>
      <c r="D89">
        <v>8</v>
      </c>
      <c r="E89">
        <v>28</v>
      </c>
      <c r="F89" t="s">
        <v>64</v>
      </c>
      <c r="G89" t="s">
        <v>267</v>
      </c>
      <c r="H89">
        <f>'DNA Loop Engine'!$B$5</f>
        <v>50</v>
      </c>
      <c r="I89" s="12" t="str">
        <f>IF(H89&lt;D89,"⏳ Pending",IF(H89&gt;=E89,"✅ Complete","🔄 Growing"))</f>
        <v>✅ Complete</v>
      </c>
      <c r="J89" s="11">
        <f>IF(H89&lt;D89,0,IF(H89&gt;=E89,1,(H89-D89)/(E89-D89)))</f>
        <v>1</v>
      </c>
      <c r="K89" s="11" t="s">
        <v>66</v>
      </c>
      <c r="L89" s="13">
        <v>0</v>
      </c>
      <c r="M89" s="13">
        <v>0.78</v>
      </c>
      <c r="N89" s="13">
        <v>0</v>
      </c>
      <c r="O89" t="s">
        <v>126</v>
      </c>
      <c r="P89" s="7">
        <f t="shared" si="9"/>
        <v>0</v>
      </c>
      <c r="Q89" s="7">
        <f t="shared" si="10"/>
        <v>0.78</v>
      </c>
      <c r="R89" s="7">
        <f t="shared" si="11"/>
        <v>0</v>
      </c>
      <c r="S89" s="7"/>
      <c r="T89" s="7"/>
      <c r="U89" s="7"/>
    </row>
    <row r="90" spans="1:21">
      <c r="A90" t="s">
        <v>270</v>
      </c>
      <c r="B90" t="s">
        <v>223</v>
      </c>
      <c r="C90" t="s">
        <v>271</v>
      </c>
      <c r="D90">
        <v>8</v>
      </c>
      <c r="E90">
        <v>28</v>
      </c>
      <c r="F90" t="s">
        <v>64</v>
      </c>
      <c r="G90" t="s">
        <v>267</v>
      </c>
      <c r="H90">
        <f>'DNA Loop Engine'!$B$5</f>
        <v>50</v>
      </c>
      <c r="I90" s="12" t="str">
        <f>IF(H90&lt;D90,"⏳ Pending",IF(H90&gt;=E90,"✅ Complete","🔄 Growing"))</f>
        <v>✅ Complete</v>
      </c>
      <c r="J90" s="11">
        <f>IF(H90&lt;D90,0,IF(H90&gt;=E90,1,(H90-D90)/(E90-D90)))</f>
        <v>1</v>
      </c>
      <c r="K90" s="11" t="s">
        <v>66</v>
      </c>
      <c r="L90" s="13">
        <v>0</v>
      </c>
      <c r="M90" s="13">
        <v>0.57999999999999996</v>
      </c>
      <c r="N90" s="13">
        <v>0.02</v>
      </c>
      <c r="O90" t="s">
        <v>126</v>
      </c>
      <c r="P90" s="7">
        <f t="shared" si="9"/>
        <v>0</v>
      </c>
      <c r="Q90" s="7">
        <f t="shared" si="10"/>
        <v>0.57999999999999996</v>
      </c>
      <c r="R90" s="7">
        <f t="shared" si="11"/>
        <v>0.02</v>
      </c>
      <c r="S90" s="7"/>
      <c r="T90" s="7"/>
      <c r="U90" s="7"/>
    </row>
    <row r="91" spans="1:21">
      <c r="A91" t="s">
        <v>272</v>
      </c>
      <c r="B91" t="s">
        <v>223</v>
      </c>
      <c r="C91" t="s">
        <v>273</v>
      </c>
      <c r="D91">
        <v>8</v>
      </c>
      <c r="E91">
        <v>28</v>
      </c>
      <c r="F91" t="s">
        <v>64</v>
      </c>
      <c r="G91" t="s">
        <v>267</v>
      </c>
      <c r="H91">
        <f>'DNA Loop Engine'!$B$5</f>
        <v>50</v>
      </c>
      <c r="I91" s="12" t="str">
        <f>IF(H91&lt;D91,"⏳ Pending",IF(H91&gt;=E91,"✅ Complete","🔄 Growing"))</f>
        <v>✅ Complete</v>
      </c>
      <c r="J91" s="11">
        <f>IF(H91&lt;D91,0,IF(H91&gt;=E91,1,(H91-D91)/(E91-D91)))</f>
        <v>1</v>
      </c>
      <c r="K91" s="11" t="s">
        <v>66</v>
      </c>
      <c r="L91" s="13">
        <v>0</v>
      </c>
      <c r="M91" s="13">
        <v>0.56000000000000005</v>
      </c>
      <c r="N91" s="13">
        <v>0.02</v>
      </c>
      <c r="O91" t="s">
        <v>126</v>
      </c>
      <c r="P91" s="7">
        <f t="shared" si="9"/>
        <v>0</v>
      </c>
      <c r="Q91" s="7">
        <f t="shared" si="10"/>
        <v>0.56000000000000005</v>
      </c>
      <c r="R91" s="7">
        <f t="shared" si="11"/>
        <v>0.02</v>
      </c>
      <c r="S91" s="7"/>
      <c r="T91" s="7"/>
      <c r="U91" s="7"/>
    </row>
    <row r="92" spans="1:21">
      <c r="A92" t="s">
        <v>274</v>
      </c>
      <c r="B92" t="s">
        <v>223</v>
      </c>
      <c r="C92" t="s">
        <v>275</v>
      </c>
      <c r="D92">
        <v>8</v>
      </c>
      <c r="E92">
        <v>28</v>
      </c>
      <c r="F92" t="s">
        <v>64</v>
      </c>
      <c r="G92" t="s">
        <v>267</v>
      </c>
      <c r="H92">
        <f>'DNA Loop Engine'!$B$5</f>
        <v>50</v>
      </c>
      <c r="I92" s="12" t="str">
        <f>IF(H92&lt;D92,"⏳ Pending",IF(H92&gt;=E92,"✅ Complete","🔄 Growing"))</f>
        <v>✅ Complete</v>
      </c>
      <c r="J92" s="11">
        <f>IF(H92&lt;D92,0,IF(H92&gt;=E92,1,(H92-D92)/(E92-D92)))</f>
        <v>1</v>
      </c>
      <c r="K92" s="11" t="s">
        <v>66</v>
      </c>
      <c r="L92" s="13">
        <v>-0.05</v>
      </c>
      <c r="M92" s="13">
        <v>0.3</v>
      </c>
      <c r="N92" s="13">
        <v>0.02</v>
      </c>
      <c r="O92" t="s">
        <v>243</v>
      </c>
      <c r="P92" s="7">
        <f t="shared" si="9"/>
        <v>-0.05</v>
      </c>
      <c r="Q92" s="7">
        <f t="shared" si="10"/>
        <v>0.3</v>
      </c>
      <c r="R92" s="7">
        <f t="shared" si="11"/>
        <v>0.02</v>
      </c>
      <c r="S92" s="7"/>
      <c r="T92" s="7"/>
      <c r="U92" s="7"/>
    </row>
    <row r="93" spans="1:21">
      <c r="A93" t="s">
        <v>276</v>
      </c>
      <c r="B93" t="s">
        <v>223</v>
      </c>
      <c r="C93" t="s">
        <v>277</v>
      </c>
      <c r="D93">
        <v>8</v>
      </c>
      <c r="E93">
        <v>36</v>
      </c>
      <c r="F93" t="s">
        <v>64</v>
      </c>
      <c r="G93" t="s">
        <v>267</v>
      </c>
      <c r="H93">
        <f>'DNA Loop Engine'!$B$5</f>
        <v>50</v>
      </c>
      <c r="I93" s="12" t="str">
        <f>IF(H93&lt;D93,"⏳ Pending",IF(H93&gt;=E93,"✅ Complete","🔄 Growing"))</f>
        <v>✅ Complete</v>
      </c>
      <c r="J93" s="11">
        <f>IF(H93&lt;D93,0,IF(H93&gt;=E93,1,(H93-D93)/(E93-D93)))</f>
        <v>1</v>
      </c>
      <c r="K93" s="11" t="s">
        <v>66</v>
      </c>
      <c r="L93" s="13">
        <v>0</v>
      </c>
      <c r="M93" s="13">
        <v>-0.05</v>
      </c>
      <c r="N93" s="13">
        <v>0</v>
      </c>
      <c r="O93" t="s">
        <v>229</v>
      </c>
      <c r="P93" s="7">
        <f t="shared" si="9"/>
        <v>0</v>
      </c>
      <c r="Q93" s="7">
        <f t="shared" si="10"/>
        <v>-0.05</v>
      </c>
      <c r="R93" s="7">
        <f t="shared" si="11"/>
        <v>0</v>
      </c>
      <c r="S93" s="7"/>
      <c r="T93" s="7"/>
      <c r="U93" s="7"/>
    </row>
    <row r="94" spans="1:21">
      <c r="A94" t="s">
        <v>278</v>
      </c>
      <c r="B94" t="s">
        <v>223</v>
      </c>
      <c r="C94" t="s">
        <v>279</v>
      </c>
      <c r="D94">
        <v>8</v>
      </c>
      <c r="E94">
        <v>36</v>
      </c>
      <c r="F94" t="s">
        <v>64</v>
      </c>
      <c r="G94" t="s">
        <v>65</v>
      </c>
      <c r="H94">
        <f>'DNA Loop Engine'!$B$5</f>
        <v>50</v>
      </c>
      <c r="I94" s="12" t="str">
        <f>IF(H94&lt;D94,"⏳ Pending",IF(H94&gt;=E94,"✅ Complete","🔄 Growing"))</f>
        <v>✅ Complete</v>
      </c>
      <c r="J94" s="11">
        <f>IF(H94&lt;D94,0,IF(H94&gt;=E94,1,(H94-D94)/(E94-D94)))</f>
        <v>1</v>
      </c>
      <c r="K94" s="11" t="s">
        <v>66</v>
      </c>
      <c r="L94" s="13">
        <v>0</v>
      </c>
      <c r="M94" s="13">
        <v>-0.02</v>
      </c>
      <c r="N94" s="13">
        <v>0</v>
      </c>
      <c r="O94" t="s">
        <v>229</v>
      </c>
      <c r="P94" s="7">
        <f t="shared" si="9"/>
        <v>0</v>
      </c>
      <c r="Q94" s="7">
        <f t="shared" si="10"/>
        <v>-0.02</v>
      </c>
      <c r="R94" s="7">
        <f t="shared" si="11"/>
        <v>0</v>
      </c>
      <c r="S94" s="7"/>
      <c r="T94" s="7"/>
      <c r="U94" s="7"/>
    </row>
    <row r="95" spans="1:21">
      <c r="A95" t="s">
        <v>280</v>
      </c>
      <c r="B95" t="s">
        <v>223</v>
      </c>
      <c r="C95" t="s">
        <v>281</v>
      </c>
      <c r="D95">
        <v>8</v>
      </c>
      <c r="E95">
        <v>36</v>
      </c>
      <c r="F95" t="s">
        <v>64</v>
      </c>
      <c r="G95" t="s">
        <v>65</v>
      </c>
      <c r="H95">
        <f>'DNA Loop Engine'!$B$5</f>
        <v>50</v>
      </c>
      <c r="I95" s="12" t="str">
        <f>IF(H95&lt;D95,"⏳ Pending",IF(H95&gt;=E95,"✅ Complete","🔄 Growing"))</f>
        <v>✅ Complete</v>
      </c>
      <c r="J95" s="11">
        <f>IF(H95&lt;D95,0,IF(H95&gt;=E95,1,(H95-D95)/(E95-D95)))</f>
        <v>1</v>
      </c>
      <c r="K95" s="11" t="s">
        <v>66</v>
      </c>
      <c r="L95" s="13">
        <v>0</v>
      </c>
      <c r="M95" s="13">
        <v>-0.08</v>
      </c>
      <c r="N95" s="13">
        <v>0</v>
      </c>
      <c r="O95" t="s">
        <v>229</v>
      </c>
      <c r="P95" s="7">
        <f t="shared" si="9"/>
        <v>0</v>
      </c>
      <c r="Q95" s="7">
        <f t="shared" si="10"/>
        <v>-0.08</v>
      </c>
      <c r="R95" s="7">
        <f t="shared" si="11"/>
        <v>0</v>
      </c>
      <c r="S95" s="7"/>
      <c r="T95" s="7"/>
      <c r="U95" s="7"/>
    </row>
    <row r="96" spans="1:21">
      <c r="A96" t="s">
        <v>282</v>
      </c>
      <c r="B96" t="s">
        <v>223</v>
      </c>
      <c r="C96" t="s">
        <v>283</v>
      </c>
      <c r="D96">
        <v>8</v>
      </c>
      <c r="E96">
        <v>36</v>
      </c>
      <c r="F96" t="s">
        <v>64</v>
      </c>
      <c r="G96" t="s">
        <v>65</v>
      </c>
      <c r="H96">
        <f>'DNA Loop Engine'!$B$5</f>
        <v>50</v>
      </c>
      <c r="I96" s="12" t="str">
        <f>IF(H96&lt;D96,"⏳ Pending",IF(H96&gt;=E96,"✅ Complete","🔄 Growing"))</f>
        <v>✅ Complete</v>
      </c>
      <c r="J96" s="11">
        <f>IF(H96&lt;D96,0,IF(H96&gt;=E96,1,(H96-D96)/(E96-D96)))</f>
        <v>1</v>
      </c>
      <c r="K96" s="11" t="s">
        <v>66</v>
      </c>
      <c r="L96" s="13">
        <v>-0.06</v>
      </c>
      <c r="M96" s="13">
        <v>-0.06</v>
      </c>
      <c r="N96" s="13">
        <v>0</v>
      </c>
      <c r="O96" t="s">
        <v>229</v>
      </c>
      <c r="P96" s="7">
        <f t="shared" si="9"/>
        <v>-0.06</v>
      </c>
      <c r="Q96" s="7">
        <f t="shared" si="10"/>
        <v>-0.06</v>
      </c>
      <c r="R96" s="7">
        <f t="shared" si="11"/>
        <v>0</v>
      </c>
      <c r="S96" s="7"/>
      <c r="T96" s="7"/>
      <c r="U96" s="7"/>
    </row>
    <row r="97" spans="1:21">
      <c r="A97" t="s">
        <v>284</v>
      </c>
      <c r="B97" t="s">
        <v>223</v>
      </c>
      <c r="C97" t="s">
        <v>285</v>
      </c>
      <c r="D97">
        <v>6</v>
      </c>
      <c r="E97">
        <v>20</v>
      </c>
      <c r="F97" t="s">
        <v>64</v>
      </c>
      <c r="G97" t="s">
        <v>65</v>
      </c>
      <c r="H97">
        <f>'DNA Loop Engine'!$B$5</f>
        <v>50</v>
      </c>
      <c r="I97" s="12" t="str">
        <f>IF(H97&lt;D97,"⏳ Pending",IF(H97&gt;=E97,"✅ Complete","🔄 Growing"))</f>
        <v>✅ Complete</v>
      </c>
      <c r="J97" s="11">
        <f>IF(H97&lt;D97,0,IF(H97&gt;=E97,1,(H97-D97)/(E97-D97)))</f>
        <v>1</v>
      </c>
      <c r="K97" s="11" t="s">
        <v>66</v>
      </c>
      <c r="L97" s="13">
        <v>0</v>
      </c>
      <c r="M97" s="13">
        <v>0.52</v>
      </c>
      <c r="N97" s="13">
        <v>0</v>
      </c>
      <c r="O97" t="s">
        <v>126</v>
      </c>
      <c r="P97" s="7">
        <f t="shared" si="9"/>
        <v>0</v>
      </c>
      <c r="Q97" s="7">
        <f t="shared" si="10"/>
        <v>0.52</v>
      </c>
      <c r="R97" s="7">
        <f t="shared" si="11"/>
        <v>0</v>
      </c>
      <c r="S97" s="7"/>
      <c r="T97" s="7"/>
      <c r="U97" s="7"/>
    </row>
    <row r="98" spans="1:21">
      <c r="A98" t="s">
        <v>286</v>
      </c>
      <c r="B98" t="s">
        <v>223</v>
      </c>
      <c r="C98" t="s">
        <v>287</v>
      </c>
      <c r="D98">
        <v>6</v>
      </c>
      <c r="E98">
        <v>20</v>
      </c>
      <c r="F98" t="s">
        <v>64</v>
      </c>
      <c r="G98" t="s">
        <v>65</v>
      </c>
      <c r="H98">
        <f>'DNA Loop Engine'!$B$5</f>
        <v>50</v>
      </c>
      <c r="I98" s="12" t="str">
        <f>IF(H98&lt;D98,"⏳ Pending",IF(H98&gt;=E98,"✅ Complete","🔄 Growing"))</f>
        <v>✅ Complete</v>
      </c>
      <c r="J98" s="11">
        <f>IF(H98&lt;D98,0,IF(H98&gt;=E98,1,(H98-D98)/(E98-D98)))</f>
        <v>1</v>
      </c>
      <c r="K98" s="11" t="s">
        <v>66</v>
      </c>
      <c r="L98" s="13">
        <v>0</v>
      </c>
      <c r="M98" s="13">
        <v>0.5</v>
      </c>
      <c r="N98" s="13">
        <v>0.02</v>
      </c>
      <c r="O98" t="s">
        <v>126</v>
      </c>
      <c r="P98" s="7">
        <f t="shared" si="9"/>
        <v>0</v>
      </c>
      <c r="Q98" s="7">
        <f t="shared" si="10"/>
        <v>0.5</v>
      </c>
      <c r="R98" s="7">
        <f t="shared" si="11"/>
        <v>0.02</v>
      </c>
      <c r="S98" s="7"/>
      <c r="T98" s="7"/>
      <c r="U98" s="7"/>
    </row>
    <row r="99" spans="1:21">
      <c r="A99" t="s">
        <v>288</v>
      </c>
      <c r="B99" t="s">
        <v>223</v>
      </c>
      <c r="C99" t="s">
        <v>289</v>
      </c>
      <c r="D99">
        <v>8</v>
      </c>
      <c r="E99">
        <v>28</v>
      </c>
      <c r="F99" t="s">
        <v>64</v>
      </c>
      <c r="G99" t="s">
        <v>65</v>
      </c>
      <c r="H99">
        <f>'DNA Loop Engine'!$B$5</f>
        <v>50</v>
      </c>
      <c r="I99" s="12" t="str">
        <f>IF(H99&lt;D99,"⏳ Pending",IF(H99&gt;=E99,"✅ Complete","🔄 Growing"))</f>
        <v>✅ Complete</v>
      </c>
      <c r="J99" s="11">
        <f>IF(H99&lt;D99,0,IF(H99&gt;=E99,1,(H99-D99)/(E99-D99)))</f>
        <v>1</v>
      </c>
      <c r="K99" s="11" t="s">
        <v>66</v>
      </c>
      <c r="L99" s="13">
        <v>0</v>
      </c>
      <c r="M99" s="13">
        <v>0.38</v>
      </c>
      <c r="N99" s="13">
        <v>0.02</v>
      </c>
      <c r="O99" t="s">
        <v>148</v>
      </c>
      <c r="P99" s="7">
        <f t="shared" si="9"/>
        <v>0</v>
      </c>
      <c r="Q99" s="7">
        <f t="shared" si="10"/>
        <v>0.38</v>
      </c>
      <c r="R99" s="7">
        <f t="shared" si="11"/>
        <v>0.02</v>
      </c>
      <c r="S99" s="7"/>
      <c r="T99" s="7"/>
      <c r="U99" s="7"/>
    </row>
    <row r="100" spans="1:21">
      <c r="A100" t="s">
        <v>290</v>
      </c>
      <c r="B100" t="s">
        <v>223</v>
      </c>
      <c r="C100" t="s">
        <v>291</v>
      </c>
      <c r="D100">
        <v>8</v>
      </c>
      <c r="E100">
        <v>28</v>
      </c>
      <c r="F100" t="s">
        <v>64</v>
      </c>
      <c r="G100" t="s">
        <v>292</v>
      </c>
      <c r="H100">
        <f>'DNA Loop Engine'!$B$5</f>
        <v>50</v>
      </c>
      <c r="I100" s="12" t="str">
        <f>IF(H100&lt;D100,"⏳ Pending",IF(H100&gt;=E100,"✅ Complete","🔄 Growing"))</f>
        <v>✅ Complete</v>
      </c>
      <c r="J100" s="11">
        <f>IF(H100&lt;D100,0,IF(H100&gt;=E100,1,(H100-D100)/(E100-D100)))</f>
        <v>1</v>
      </c>
      <c r="K100" s="11" t="s">
        <v>66</v>
      </c>
      <c r="L100" s="13">
        <v>0</v>
      </c>
      <c r="M100" s="13">
        <v>0.2</v>
      </c>
      <c r="N100" s="13">
        <v>0</v>
      </c>
      <c r="O100" t="s">
        <v>148</v>
      </c>
      <c r="P100" s="7">
        <f t="shared" si="9"/>
        <v>0</v>
      </c>
      <c r="Q100" s="7">
        <f t="shared" si="10"/>
        <v>0.2</v>
      </c>
      <c r="R100" s="7">
        <f t="shared" si="11"/>
        <v>0</v>
      </c>
      <c r="S100" s="7"/>
      <c r="T100" s="7"/>
      <c r="U100" s="7"/>
    </row>
    <row r="101" spans="1:21">
      <c r="A101" t="s">
        <v>293</v>
      </c>
      <c r="B101" t="s">
        <v>223</v>
      </c>
      <c r="C101" t="s">
        <v>294</v>
      </c>
      <c r="D101">
        <v>6</v>
      </c>
      <c r="E101">
        <v>36</v>
      </c>
      <c r="F101" t="s">
        <v>64</v>
      </c>
      <c r="G101" t="s">
        <v>65</v>
      </c>
      <c r="H101">
        <f>'DNA Loop Engine'!$B$5</f>
        <v>50</v>
      </c>
      <c r="I101" s="12" t="str">
        <f>IF(H101&lt;D101,"⏳ Pending",IF(H101&gt;=E101,"✅ Complete","🔄 Growing"))</f>
        <v>✅ Complete</v>
      </c>
      <c r="J101" s="11">
        <f>IF(H101&lt;D101,0,IF(H101&gt;=E101,1,(H101-D101)/(E101-D101)))</f>
        <v>1</v>
      </c>
      <c r="K101" s="11" t="s">
        <v>66</v>
      </c>
      <c r="L101" s="13">
        <v>0</v>
      </c>
      <c r="M101" s="13">
        <v>0.3</v>
      </c>
      <c r="N101" s="13">
        <v>0</v>
      </c>
      <c r="O101" t="s">
        <v>295</v>
      </c>
      <c r="P101" s="7">
        <f t="shared" si="9"/>
        <v>0</v>
      </c>
      <c r="Q101" s="7">
        <f t="shared" si="10"/>
        <v>0.3</v>
      </c>
      <c r="R101" s="7">
        <f t="shared" si="11"/>
        <v>0</v>
      </c>
      <c r="S101" s="7"/>
      <c r="T101" s="7"/>
      <c r="U101" s="7"/>
    </row>
    <row r="102" spans="1:21">
      <c r="A102" t="s">
        <v>296</v>
      </c>
      <c r="B102" t="s">
        <v>223</v>
      </c>
      <c r="C102" t="s">
        <v>297</v>
      </c>
      <c r="D102">
        <v>6</v>
      </c>
      <c r="E102">
        <v>28</v>
      </c>
      <c r="F102" t="s">
        <v>64</v>
      </c>
      <c r="G102" t="s">
        <v>298</v>
      </c>
      <c r="H102">
        <f>'DNA Loop Engine'!$B$5</f>
        <v>50</v>
      </c>
      <c r="I102" s="12" t="str">
        <f>IF(H102&lt;D102,"⏳ Pending",IF(H102&gt;=E102,"✅ Complete","🔄 Growing"))</f>
        <v>✅ Complete</v>
      </c>
      <c r="J102" s="11">
        <f>IF(H102&lt;D102,0,IF(H102&gt;=E102,1,(H102-D102)/(E102-D102)))</f>
        <v>1</v>
      </c>
      <c r="K102" s="11" t="s">
        <v>66</v>
      </c>
      <c r="L102" s="13">
        <v>-0.03</v>
      </c>
      <c r="M102" s="13">
        <v>0.78</v>
      </c>
      <c r="N102" s="13">
        <v>0.12</v>
      </c>
      <c r="O102" t="s">
        <v>299</v>
      </c>
      <c r="P102" s="7">
        <f t="shared" si="9"/>
        <v>-0.03</v>
      </c>
      <c r="Q102" s="7">
        <f t="shared" si="10"/>
        <v>0.78</v>
      </c>
      <c r="R102" s="7">
        <f t="shared" si="11"/>
        <v>0.12</v>
      </c>
      <c r="S102" s="7"/>
      <c r="T102" s="7"/>
      <c r="U102" s="7"/>
    </row>
    <row r="103" spans="1:21">
      <c r="A103" t="s">
        <v>300</v>
      </c>
      <c r="B103" t="s">
        <v>223</v>
      </c>
      <c r="C103" t="s">
        <v>301</v>
      </c>
      <c r="D103">
        <v>6</v>
      </c>
      <c r="E103">
        <v>28</v>
      </c>
      <c r="F103" t="s">
        <v>64</v>
      </c>
      <c r="G103" t="s">
        <v>298</v>
      </c>
      <c r="H103">
        <f>'DNA Loop Engine'!$B$5</f>
        <v>50</v>
      </c>
      <c r="I103" s="12" t="str">
        <f>IF(H103&lt;D103,"⏳ Pending",IF(H103&gt;=E103,"✅ Complete","🔄 Growing"))</f>
        <v>✅ Complete</v>
      </c>
      <c r="J103" s="11">
        <f>IF(H103&lt;D103,0,IF(H103&gt;=E103,1,(H103-D103)/(E103-D103)))</f>
        <v>1</v>
      </c>
      <c r="K103" s="11" t="s">
        <v>66</v>
      </c>
      <c r="L103" s="13">
        <v>-0.08</v>
      </c>
      <c r="M103" s="13">
        <v>0.8</v>
      </c>
      <c r="N103" s="13">
        <v>0.04</v>
      </c>
      <c r="O103" t="s">
        <v>302</v>
      </c>
      <c r="P103" s="7">
        <f t="shared" si="9"/>
        <v>-0.08</v>
      </c>
      <c r="Q103" s="7">
        <f t="shared" si="10"/>
        <v>0.8</v>
      </c>
      <c r="R103" s="7">
        <f t="shared" si="11"/>
        <v>0.04</v>
      </c>
      <c r="S103" s="7"/>
      <c r="T103" s="7"/>
      <c r="U103" s="7"/>
    </row>
    <row r="104" spans="1:21">
      <c r="A104" t="s">
        <v>303</v>
      </c>
      <c r="B104" t="s">
        <v>223</v>
      </c>
      <c r="C104" t="s">
        <v>304</v>
      </c>
      <c r="D104">
        <v>6</v>
      </c>
      <c r="E104">
        <v>28</v>
      </c>
      <c r="F104" t="s">
        <v>64</v>
      </c>
      <c r="G104" t="s">
        <v>298</v>
      </c>
      <c r="H104">
        <f>'DNA Loop Engine'!$B$5</f>
        <v>50</v>
      </c>
      <c r="I104" s="12" t="str">
        <f>IF(H104&lt;D104,"⏳ Pending",IF(H104&gt;=E104,"✅ Complete","🔄 Growing"))</f>
        <v>✅ Complete</v>
      </c>
      <c r="J104" s="11">
        <f>IF(H104&lt;D104,0,IF(H104&gt;=E104,1,(H104-D104)/(E104-D104)))</f>
        <v>1</v>
      </c>
      <c r="K104" s="11" t="s">
        <v>66</v>
      </c>
      <c r="L104" s="13">
        <v>0</v>
      </c>
      <c r="M104" s="13">
        <v>0.74</v>
      </c>
      <c r="N104" s="13">
        <v>0.12</v>
      </c>
      <c r="O104" t="s">
        <v>148</v>
      </c>
      <c r="P104" s="7">
        <f t="shared" si="9"/>
        <v>0</v>
      </c>
      <c r="Q104" s="7">
        <f t="shared" si="10"/>
        <v>0.74</v>
      </c>
      <c r="R104" s="7">
        <f t="shared" si="11"/>
        <v>0.12</v>
      </c>
      <c r="S104" s="7"/>
      <c r="T104" s="7"/>
      <c r="U104" s="7"/>
    </row>
    <row r="105" spans="1:21">
      <c r="A105" t="s">
        <v>305</v>
      </c>
      <c r="B105" t="s">
        <v>223</v>
      </c>
      <c r="C105" t="s">
        <v>306</v>
      </c>
      <c r="D105">
        <v>6</v>
      </c>
      <c r="E105">
        <v>28</v>
      </c>
      <c r="F105" t="s">
        <v>64</v>
      </c>
      <c r="G105" t="s">
        <v>298</v>
      </c>
      <c r="H105">
        <f>'DNA Loop Engine'!$B$5</f>
        <v>50</v>
      </c>
      <c r="I105" s="12" t="str">
        <f>IF(H105&lt;D105,"⏳ Pending",IF(H105&gt;=E105,"✅ Complete","🔄 Growing"))</f>
        <v>✅ Complete</v>
      </c>
      <c r="J105" s="11">
        <f>IF(H105&lt;D105,0,IF(H105&gt;=E105,1,(H105-D105)/(E105-D105)))</f>
        <v>1</v>
      </c>
      <c r="K105" s="11" t="s">
        <v>66</v>
      </c>
      <c r="L105" s="13">
        <v>0</v>
      </c>
      <c r="M105" s="13">
        <v>0.7</v>
      </c>
      <c r="N105" s="13">
        <v>0.1</v>
      </c>
      <c r="O105" t="s">
        <v>307</v>
      </c>
      <c r="P105" s="7">
        <f t="shared" si="9"/>
        <v>0</v>
      </c>
      <c r="Q105" s="7">
        <f t="shared" si="10"/>
        <v>0.7</v>
      </c>
      <c r="R105" s="7">
        <f t="shared" si="11"/>
        <v>0.1</v>
      </c>
      <c r="S105" s="7"/>
      <c r="T105" s="7"/>
      <c r="U105" s="7"/>
    </row>
    <row r="106" spans="1:21">
      <c r="A106" t="s">
        <v>308</v>
      </c>
      <c r="B106" t="s">
        <v>309</v>
      </c>
      <c r="C106" t="s">
        <v>310</v>
      </c>
      <c r="D106">
        <v>8</v>
      </c>
      <c r="E106">
        <v>28</v>
      </c>
      <c r="F106" t="s">
        <v>64</v>
      </c>
      <c r="G106" t="s">
        <v>292</v>
      </c>
      <c r="H106">
        <f>'DNA Loop Engine'!$B$5</f>
        <v>50</v>
      </c>
      <c r="I106" s="12" t="str">
        <f>IF(H106&lt;D106,"⏳ Pending",IF(H106&gt;=E106,"✅ Complete","🔄 Growing"))</f>
        <v>✅ Complete</v>
      </c>
      <c r="J106" s="11">
        <f>IF(H106&lt;D106,0,IF(H106&gt;=E106,1,(H106-D106)/(E106-D106)))</f>
        <v>1</v>
      </c>
      <c r="K106" s="11" t="s">
        <v>98</v>
      </c>
      <c r="L106" s="13">
        <v>-0.04</v>
      </c>
      <c r="M106" s="13">
        <v>0.7</v>
      </c>
      <c r="N106" s="13">
        <v>0.06</v>
      </c>
      <c r="O106" t="s">
        <v>311</v>
      </c>
      <c r="P106" s="7">
        <f t="shared" si="9"/>
        <v>-0.04</v>
      </c>
      <c r="Q106" s="7">
        <f t="shared" si="10"/>
        <v>0.7</v>
      </c>
      <c r="R106" s="7">
        <f t="shared" si="11"/>
        <v>0.06</v>
      </c>
      <c r="S106" s="7"/>
      <c r="T106" s="7"/>
      <c r="U106" s="7"/>
    </row>
    <row r="107" spans="1:21">
      <c r="A107" t="s">
        <v>312</v>
      </c>
      <c r="B107" t="s">
        <v>309</v>
      </c>
      <c r="C107" t="s">
        <v>313</v>
      </c>
      <c r="D107">
        <v>8</v>
      </c>
      <c r="E107">
        <v>28</v>
      </c>
      <c r="F107" t="s">
        <v>64</v>
      </c>
      <c r="G107" t="s">
        <v>292</v>
      </c>
      <c r="H107">
        <f>'DNA Loop Engine'!$B$5</f>
        <v>50</v>
      </c>
      <c r="I107" s="12" t="str">
        <f>IF(H107&lt;D107,"⏳ Pending",IF(H107&gt;=E107,"✅ Complete","🔄 Growing"))</f>
        <v>✅ Complete</v>
      </c>
      <c r="J107" s="11">
        <f>IF(H107&lt;D107,0,IF(H107&gt;=E107,1,(H107-D107)/(E107-D107)))</f>
        <v>1</v>
      </c>
      <c r="K107" s="11" t="s">
        <v>72</v>
      </c>
      <c r="L107" s="13">
        <v>-0.08</v>
      </c>
      <c r="M107" s="13">
        <v>0.78</v>
      </c>
      <c r="N107" s="13">
        <v>0.02</v>
      </c>
      <c r="O107" t="s">
        <v>311</v>
      </c>
      <c r="P107" s="7">
        <f t="shared" si="9"/>
        <v>-0.08</v>
      </c>
      <c r="Q107" s="7">
        <f t="shared" si="10"/>
        <v>0.78</v>
      </c>
      <c r="R107" s="7">
        <f t="shared" si="11"/>
        <v>0.02</v>
      </c>
      <c r="S107" s="7"/>
      <c r="T107" s="7"/>
      <c r="U107" s="7"/>
    </row>
    <row r="108" spans="1:21">
      <c r="A108" t="s">
        <v>314</v>
      </c>
      <c r="B108" t="s">
        <v>309</v>
      </c>
      <c r="C108" t="s">
        <v>315</v>
      </c>
      <c r="D108">
        <v>8</v>
      </c>
      <c r="E108">
        <v>28</v>
      </c>
      <c r="F108" t="s">
        <v>64</v>
      </c>
      <c r="G108" t="s">
        <v>292</v>
      </c>
      <c r="H108">
        <f>'DNA Loop Engine'!$B$5</f>
        <v>50</v>
      </c>
      <c r="I108" s="12" t="str">
        <f>IF(H108&lt;D108,"⏳ Pending",IF(H108&gt;=E108,"✅ Complete","🔄 Growing"))</f>
        <v>✅ Complete</v>
      </c>
      <c r="J108" s="11">
        <f>IF(H108&lt;D108,0,IF(H108&gt;=E108,1,(H108-D108)/(E108-D108)))</f>
        <v>1</v>
      </c>
      <c r="K108" s="11" t="s">
        <v>146</v>
      </c>
      <c r="L108" s="13">
        <v>-0.08</v>
      </c>
      <c r="M108" s="13">
        <v>0.57999999999999996</v>
      </c>
      <c r="N108" s="13">
        <v>0.04</v>
      </c>
      <c r="O108" t="s">
        <v>311</v>
      </c>
      <c r="P108" s="7">
        <f t="shared" si="9"/>
        <v>-0.08</v>
      </c>
      <c r="Q108" s="7">
        <f t="shared" si="10"/>
        <v>0.57999999999999996</v>
      </c>
      <c r="R108" s="7">
        <f t="shared" si="11"/>
        <v>0.04</v>
      </c>
      <c r="S108" s="7"/>
      <c r="T108" s="7"/>
      <c r="U108" s="7"/>
    </row>
    <row r="109" spans="1:21">
      <c r="A109" t="s">
        <v>316</v>
      </c>
      <c r="B109" t="s">
        <v>309</v>
      </c>
      <c r="C109" t="s">
        <v>317</v>
      </c>
      <c r="D109">
        <v>8</v>
      </c>
      <c r="E109">
        <v>36</v>
      </c>
      <c r="F109" t="s">
        <v>64</v>
      </c>
      <c r="G109" t="s">
        <v>292</v>
      </c>
      <c r="H109">
        <f>'DNA Loop Engine'!$B$5</f>
        <v>50</v>
      </c>
      <c r="I109" s="12" t="str">
        <f>IF(H109&lt;D109,"⏳ Pending",IF(H109&gt;=E109,"✅ Complete","🔄 Growing"))</f>
        <v>✅ Complete</v>
      </c>
      <c r="J109" s="11">
        <f>IF(H109&lt;D109,0,IF(H109&gt;=E109,1,(H109-D109)/(E109-D109)))</f>
        <v>1</v>
      </c>
      <c r="K109" s="11" t="s">
        <v>127</v>
      </c>
      <c r="L109" s="13">
        <v>0</v>
      </c>
      <c r="M109" s="13">
        <v>0.55000000000000004</v>
      </c>
      <c r="N109" s="13">
        <v>-0.02</v>
      </c>
      <c r="O109" t="s">
        <v>311</v>
      </c>
      <c r="P109" s="7">
        <f t="shared" si="9"/>
        <v>0</v>
      </c>
      <c r="Q109" s="7">
        <f t="shared" si="10"/>
        <v>0.55000000000000004</v>
      </c>
      <c r="R109" s="7">
        <f t="shared" si="11"/>
        <v>-0.02</v>
      </c>
      <c r="S109" s="7"/>
      <c r="T109" s="7"/>
      <c r="U109" s="7"/>
    </row>
    <row r="110" spans="1:21">
      <c r="A110" t="s">
        <v>318</v>
      </c>
      <c r="B110" t="s">
        <v>309</v>
      </c>
      <c r="C110" t="s">
        <v>319</v>
      </c>
      <c r="D110">
        <v>8</v>
      </c>
      <c r="E110">
        <v>36</v>
      </c>
      <c r="F110" t="s">
        <v>64</v>
      </c>
      <c r="G110" t="s">
        <v>292</v>
      </c>
      <c r="H110">
        <f>'DNA Loop Engine'!$B$5</f>
        <v>50</v>
      </c>
      <c r="I110" s="12" t="str">
        <f>IF(H110&lt;D110,"⏳ Pending",IF(H110&gt;=E110,"✅ Complete","🔄 Growing"))</f>
        <v>✅ Complete</v>
      </c>
      <c r="J110" s="11">
        <f>IF(H110&lt;D110,0,IF(H110&gt;=E110,1,(H110-D110)/(E110-D110)))</f>
        <v>1</v>
      </c>
      <c r="K110" s="11" t="s">
        <v>146</v>
      </c>
      <c r="L110" s="13">
        <v>-0.12</v>
      </c>
      <c r="M110" s="13">
        <v>0.45</v>
      </c>
      <c r="N110" s="13">
        <v>0.06</v>
      </c>
      <c r="O110" t="s">
        <v>311</v>
      </c>
      <c r="P110" s="7">
        <f t="shared" si="9"/>
        <v>-0.12</v>
      </c>
      <c r="Q110" s="7">
        <f t="shared" si="10"/>
        <v>0.45</v>
      </c>
      <c r="R110" s="7">
        <f t="shared" si="11"/>
        <v>0.06</v>
      </c>
      <c r="S110" s="7"/>
      <c r="T110" s="7"/>
      <c r="U110" s="7"/>
    </row>
    <row r="111" spans="1:21">
      <c r="A111" t="s">
        <v>320</v>
      </c>
      <c r="B111" t="s">
        <v>309</v>
      </c>
      <c r="C111" t="s">
        <v>321</v>
      </c>
      <c r="D111">
        <v>8</v>
      </c>
      <c r="E111">
        <v>36</v>
      </c>
      <c r="F111" t="s">
        <v>64</v>
      </c>
      <c r="G111" t="s">
        <v>292</v>
      </c>
      <c r="H111">
        <f>'DNA Loop Engine'!$B$5</f>
        <v>50</v>
      </c>
      <c r="I111" s="12" t="str">
        <f>IF(H111&lt;D111,"⏳ Pending",IF(H111&gt;=E111,"✅ Complete","🔄 Growing"))</f>
        <v>✅ Complete</v>
      </c>
      <c r="J111" s="11">
        <f>IF(H111&lt;D111,0,IF(H111&gt;=E111,1,(H111-D111)/(E111-D111)))</f>
        <v>1</v>
      </c>
      <c r="K111" s="11" t="s">
        <v>141</v>
      </c>
      <c r="L111" s="13">
        <v>-0.1</v>
      </c>
      <c r="M111" s="13">
        <v>0.42</v>
      </c>
      <c r="N111" s="13">
        <v>0.04</v>
      </c>
      <c r="O111" t="s">
        <v>311</v>
      </c>
      <c r="P111" s="7">
        <f t="shared" si="9"/>
        <v>-0.1</v>
      </c>
      <c r="Q111" s="7">
        <f t="shared" si="10"/>
        <v>0.42</v>
      </c>
      <c r="R111" s="7">
        <f t="shared" si="11"/>
        <v>0.04</v>
      </c>
      <c r="S111" s="7"/>
      <c r="T111" s="7"/>
      <c r="U111" s="7"/>
    </row>
    <row r="112" spans="1:21">
      <c r="A112" t="s">
        <v>322</v>
      </c>
      <c r="B112" t="s">
        <v>309</v>
      </c>
      <c r="C112" t="s">
        <v>323</v>
      </c>
      <c r="D112">
        <v>8</v>
      </c>
      <c r="E112">
        <v>36</v>
      </c>
      <c r="F112" t="s">
        <v>64</v>
      </c>
      <c r="G112" t="s">
        <v>292</v>
      </c>
      <c r="H112">
        <f>'DNA Loop Engine'!$B$5</f>
        <v>50</v>
      </c>
      <c r="I112" s="12" t="str">
        <f>IF(H112&lt;D112,"⏳ Pending",IF(H112&gt;=E112,"✅ Complete","🔄 Growing"))</f>
        <v>✅ Complete</v>
      </c>
      <c r="J112" s="11">
        <f>IF(H112&lt;D112,0,IF(H112&gt;=E112,1,(H112-D112)/(E112-D112)))</f>
        <v>1</v>
      </c>
      <c r="K112" s="11" t="s">
        <v>146</v>
      </c>
      <c r="L112" s="13">
        <v>0</v>
      </c>
      <c r="M112" s="13">
        <v>0.25</v>
      </c>
      <c r="N112" s="13">
        <v>0.04</v>
      </c>
      <c r="O112" t="s">
        <v>311</v>
      </c>
      <c r="P112" s="7">
        <f t="shared" si="9"/>
        <v>0</v>
      </c>
      <c r="Q112" s="7">
        <f t="shared" si="10"/>
        <v>0.25</v>
      </c>
      <c r="R112" s="7">
        <f t="shared" si="11"/>
        <v>0.04</v>
      </c>
      <c r="S112" s="7"/>
      <c r="T112" s="7"/>
      <c r="U112" s="7"/>
    </row>
    <row r="113" spans="1:21">
      <c r="A113" t="s">
        <v>324</v>
      </c>
      <c r="B113" t="s">
        <v>309</v>
      </c>
      <c r="C113" t="s">
        <v>325</v>
      </c>
      <c r="D113">
        <v>8</v>
      </c>
      <c r="E113">
        <v>36</v>
      </c>
      <c r="F113" t="s">
        <v>64</v>
      </c>
      <c r="G113" t="s">
        <v>292</v>
      </c>
      <c r="H113">
        <f>'DNA Loop Engine'!$B$5</f>
        <v>50</v>
      </c>
      <c r="I113" s="12" t="str">
        <f>IF(H113&lt;D113,"⏳ Pending",IF(H113&gt;=E113,"✅ Complete","🔄 Growing"))</f>
        <v>✅ Complete</v>
      </c>
      <c r="J113" s="11">
        <f>IF(H113&lt;D113,0,IF(H113&gt;=E113,1,(H113-D113)/(E113-D113)))</f>
        <v>1</v>
      </c>
      <c r="K113" s="11" t="s">
        <v>141</v>
      </c>
      <c r="L113" s="13">
        <v>-0.12</v>
      </c>
      <c r="M113" s="13">
        <v>0.22</v>
      </c>
      <c r="N113" s="13">
        <v>0.02</v>
      </c>
      <c r="O113" t="s">
        <v>311</v>
      </c>
      <c r="P113" s="7">
        <f t="shared" si="9"/>
        <v>-0.12</v>
      </c>
      <c r="Q113" s="7">
        <f t="shared" si="10"/>
        <v>0.22</v>
      </c>
      <c r="R113" s="7">
        <f t="shared" si="11"/>
        <v>0.02</v>
      </c>
      <c r="S113" s="7"/>
      <c r="T113" s="7"/>
      <c r="U113" s="7"/>
    </row>
    <row r="114" spans="1:21">
      <c r="A114" t="s">
        <v>326</v>
      </c>
      <c r="B114" t="s">
        <v>309</v>
      </c>
      <c r="C114" t="s">
        <v>327</v>
      </c>
      <c r="D114">
        <v>8</v>
      </c>
      <c r="E114">
        <v>36</v>
      </c>
      <c r="F114" t="s">
        <v>64</v>
      </c>
      <c r="G114" t="s">
        <v>292</v>
      </c>
      <c r="H114">
        <f>'DNA Loop Engine'!$B$5</f>
        <v>50</v>
      </c>
      <c r="I114" s="12" t="str">
        <f>IF(H114&lt;D114,"⏳ Pending",IF(H114&gt;=E114,"✅ Complete","🔄 Growing"))</f>
        <v>✅ Complete</v>
      </c>
      <c r="J114" s="11">
        <f>IF(H114&lt;D114,0,IF(H114&gt;=E114,1,(H114-D114)/(E114-D114)))</f>
        <v>1</v>
      </c>
      <c r="K114" s="11" t="s">
        <v>141</v>
      </c>
      <c r="L114" s="13">
        <v>-0.1</v>
      </c>
      <c r="M114" s="13">
        <v>0.2</v>
      </c>
      <c r="N114" s="13">
        <v>0</v>
      </c>
      <c r="O114" t="s">
        <v>311</v>
      </c>
      <c r="P114" s="7">
        <f t="shared" si="9"/>
        <v>-0.1</v>
      </c>
      <c r="Q114" s="7">
        <f t="shared" si="10"/>
        <v>0.2</v>
      </c>
      <c r="R114" s="7">
        <f t="shared" si="11"/>
        <v>0</v>
      </c>
      <c r="S114" s="7"/>
      <c r="T114" s="7"/>
      <c r="U114" s="7"/>
    </row>
    <row r="115" spans="1:21">
      <c r="A115" t="s">
        <v>328</v>
      </c>
      <c r="B115" t="s">
        <v>309</v>
      </c>
      <c r="C115" t="s">
        <v>329</v>
      </c>
      <c r="D115">
        <v>8</v>
      </c>
      <c r="E115">
        <v>36</v>
      </c>
      <c r="F115" t="s">
        <v>64</v>
      </c>
      <c r="G115" t="s">
        <v>292</v>
      </c>
      <c r="H115">
        <f>'DNA Loop Engine'!$B$5</f>
        <v>50</v>
      </c>
      <c r="I115" s="12" t="str">
        <f>IF(H115&lt;D115,"⏳ Pending",IF(H115&gt;=E115,"✅ Complete","🔄 Growing"))</f>
        <v>✅ Complete</v>
      </c>
      <c r="J115" s="11">
        <f>IF(H115&lt;D115,0,IF(H115&gt;=E115,1,(H115-D115)/(E115-D115)))</f>
        <v>1</v>
      </c>
      <c r="K115" s="11" t="s">
        <v>66</v>
      </c>
      <c r="L115" s="13">
        <v>0</v>
      </c>
      <c r="M115" s="13">
        <v>0.15</v>
      </c>
      <c r="N115" s="13">
        <v>0.02</v>
      </c>
      <c r="O115" t="s">
        <v>311</v>
      </c>
      <c r="P115" s="7">
        <f t="shared" si="9"/>
        <v>0</v>
      </c>
      <c r="Q115" s="7">
        <f t="shared" si="10"/>
        <v>0.15</v>
      </c>
      <c r="R115" s="7">
        <f t="shared" si="11"/>
        <v>0.02</v>
      </c>
      <c r="S115" s="7"/>
      <c r="T115" s="7"/>
      <c r="U115" s="7"/>
    </row>
    <row r="116" spans="1:21">
      <c r="A116" t="s">
        <v>330</v>
      </c>
      <c r="B116" t="s">
        <v>309</v>
      </c>
      <c r="C116" t="s">
        <v>331</v>
      </c>
      <c r="D116">
        <v>8</v>
      </c>
      <c r="E116">
        <v>36</v>
      </c>
      <c r="F116" t="s">
        <v>64</v>
      </c>
      <c r="G116" t="s">
        <v>292</v>
      </c>
      <c r="H116">
        <f>'DNA Loop Engine'!$B$5</f>
        <v>50</v>
      </c>
      <c r="I116" s="12" t="str">
        <f>IF(H116&lt;D116,"⏳ Pending",IF(H116&gt;=E116,"✅ Complete","🔄 Growing"))</f>
        <v>✅ Complete</v>
      </c>
      <c r="J116" s="11">
        <f>IF(H116&lt;D116,0,IF(H116&gt;=E116,1,(H116-D116)/(E116-D116)))</f>
        <v>1</v>
      </c>
      <c r="K116" s="11" t="s">
        <v>130</v>
      </c>
      <c r="L116" s="13">
        <v>-0.18</v>
      </c>
      <c r="M116" s="13">
        <v>0.35</v>
      </c>
      <c r="N116" s="13">
        <v>-0.04</v>
      </c>
      <c r="O116" t="s">
        <v>311</v>
      </c>
      <c r="P116" s="7">
        <f t="shared" si="9"/>
        <v>-0.18</v>
      </c>
      <c r="Q116" s="7">
        <f t="shared" si="10"/>
        <v>0.35</v>
      </c>
      <c r="R116" s="7">
        <f t="shared" si="11"/>
        <v>-0.04</v>
      </c>
      <c r="S116" s="7"/>
      <c r="T116" s="7"/>
      <c r="U116" s="7"/>
    </row>
    <row r="117" spans="1:21">
      <c r="A117" t="s">
        <v>332</v>
      </c>
      <c r="B117" t="s">
        <v>309</v>
      </c>
      <c r="C117" t="s">
        <v>333</v>
      </c>
      <c r="D117">
        <v>8</v>
      </c>
      <c r="E117">
        <v>36</v>
      </c>
      <c r="F117" t="s">
        <v>64</v>
      </c>
      <c r="G117" t="s">
        <v>292</v>
      </c>
      <c r="H117">
        <f>'DNA Loop Engine'!$B$5</f>
        <v>50</v>
      </c>
      <c r="I117" s="12" t="str">
        <f>IF(H117&lt;D117,"⏳ Pending",IF(H117&gt;=E117,"✅ Complete","🔄 Growing"))</f>
        <v>✅ Complete</v>
      </c>
      <c r="J117" s="11">
        <f>IF(H117&lt;D117,0,IF(H117&gt;=E117,1,(H117-D117)/(E117-D117)))</f>
        <v>1</v>
      </c>
      <c r="K117" s="11" t="s">
        <v>130</v>
      </c>
      <c r="L117" s="13">
        <v>0</v>
      </c>
      <c r="M117" s="13">
        <v>0.3</v>
      </c>
      <c r="N117" s="13">
        <v>-0.04</v>
      </c>
      <c r="O117" t="s">
        <v>311</v>
      </c>
      <c r="P117" s="7">
        <f t="shared" si="9"/>
        <v>0</v>
      </c>
      <c r="Q117" s="7">
        <f t="shared" si="10"/>
        <v>0.3</v>
      </c>
      <c r="R117" s="7">
        <f t="shared" si="11"/>
        <v>-0.04</v>
      </c>
      <c r="S117" s="7"/>
      <c r="T117" s="7"/>
      <c r="U117" s="7"/>
    </row>
    <row r="118" spans="1:21">
      <c r="A118" t="s">
        <v>334</v>
      </c>
      <c r="B118" t="s">
        <v>309</v>
      </c>
      <c r="C118" t="s">
        <v>335</v>
      </c>
      <c r="D118">
        <v>8</v>
      </c>
      <c r="E118">
        <v>36</v>
      </c>
      <c r="F118" t="s">
        <v>64</v>
      </c>
      <c r="G118" t="s">
        <v>292</v>
      </c>
      <c r="H118">
        <f>'DNA Loop Engine'!$B$5</f>
        <v>50</v>
      </c>
      <c r="I118" s="12" t="str">
        <f>IF(H118&lt;D118,"⏳ Pending",IF(H118&gt;=E118,"✅ Complete","🔄 Growing"))</f>
        <v>✅ Complete</v>
      </c>
      <c r="J118" s="11">
        <f>IF(H118&lt;D118,0,IF(H118&gt;=E118,1,(H118-D118)/(E118-D118)))</f>
        <v>1</v>
      </c>
      <c r="K118" s="11" t="s">
        <v>154</v>
      </c>
      <c r="L118" s="13">
        <v>-0.22</v>
      </c>
      <c r="M118" s="13">
        <v>0.42</v>
      </c>
      <c r="N118" s="13">
        <v>0</v>
      </c>
      <c r="O118" t="s">
        <v>311</v>
      </c>
      <c r="P118" s="7">
        <f t="shared" si="9"/>
        <v>-0.22</v>
      </c>
      <c r="Q118" s="7">
        <f t="shared" si="10"/>
        <v>0.42</v>
      </c>
      <c r="R118" s="7">
        <f t="shared" si="11"/>
        <v>0</v>
      </c>
      <c r="S118" s="7"/>
      <c r="T118" s="7"/>
      <c r="U118" s="7"/>
    </row>
    <row r="119" spans="1:21">
      <c r="A119" t="s">
        <v>336</v>
      </c>
      <c r="B119" t="s">
        <v>309</v>
      </c>
      <c r="C119" t="s">
        <v>337</v>
      </c>
      <c r="D119">
        <v>8</v>
      </c>
      <c r="E119">
        <v>36</v>
      </c>
      <c r="F119" t="s">
        <v>64</v>
      </c>
      <c r="G119" t="s">
        <v>292</v>
      </c>
      <c r="H119">
        <f>'DNA Loop Engine'!$B$5</f>
        <v>50</v>
      </c>
      <c r="I119" s="12" t="str">
        <f>IF(H119&lt;D119,"⏳ Pending",IF(H119&gt;=E119,"✅ Complete","🔄 Growing"))</f>
        <v>✅ Complete</v>
      </c>
      <c r="J119" s="11">
        <f>IF(H119&lt;D119,0,IF(H119&gt;=E119,1,(H119-D119)/(E119-D119)))</f>
        <v>1</v>
      </c>
      <c r="K119" s="11" t="s">
        <v>154</v>
      </c>
      <c r="L119" s="13">
        <v>-0.22</v>
      </c>
      <c r="M119" s="13">
        <v>0.38</v>
      </c>
      <c r="N119" s="13">
        <v>0</v>
      </c>
      <c r="O119" t="s">
        <v>311</v>
      </c>
      <c r="P119" s="7">
        <f t="shared" si="9"/>
        <v>-0.22</v>
      </c>
      <c r="Q119" s="7">
        <f t="shared" si="10"/>
        <v>0.38</v>
      </c>
      <c r="R119" s="7">
        <f t="shared" si="11"/>
        <v>0</v>
      </c>
      <c r="S119" s="7"/>
      <c r="T119" s="7"/>
      <c r="U119" s="7"/>
    </row>
    <row r="120" spans="1:21">
      <c r="A120" t="s">
        <v>338</v>
      </c>
      <c r="B120" t="s">
        <v>309</v>
      </c>
      <c r="C120" t="s">
        <v>339</v>
      </c>
      <c r="D120">
        <v>8</v>
      </c>
      <c r="E120">
        <v>36</v>
      </c>
      <c r="F120" t="s">
        <v>64</v>
      </c>
      <c r="G120" t="s">
        <v>292</v>
      </c>
      <c r="H120">
        <f>'DNA Loop Engine'!$B$5</f>
        <v>50</v>
      </c>
      <c r="I120" s="12" t="str">
        <f>IF(H120&lt;D120,"⏳ Pending",IF(H120&gt;=E120,"✅ Complete","🔄 Growing"))</f>
        <v>✅ Complete</v>
      </c>
      <c r="J120" s="11">
        <f>IF(H120&lt;D120,0,IF(H120&gt;=E120,1,(H120-D120)/(E120-D120)))</f>
        <v>1</v>
      </c>
      <c r="K120" s="11" t="s">
        <v>159</v>
      </c>
      <c r="L120" s="13">
        <v>-0.26</v>
      </c>
      <c r="M120" s="13">
        <v>0.32</v>
      </c>
      <c r="N120" s="13">
        <v>0</v>
      </c>
      <c r="O120" t="s">
        <v>311</v>
      </c>
      <c r="P120" s="7">
        <f t="shared" si="9"/>
        <v>-0.26</v>
      </c>
      <c r="Q120" s="7">
        <f t="shared" si="10"/>
        <v>0.32</v>
      </c>
      <c r="R120" s="7">
        <f t="shared" si="11"/>
        <v>0</v>
      </c>
      <c r="S120" s="7"/>
      <c r="T120" s="7"/>
      <c r="U120" s="7"/>
    </row>
    <row r="121" spans="1:21">
      <c r="A121" t="s">
        <v>340</v>
      </c>
      <c r="B121" t="s">
        <v>309</v>
      </c>
      <c r="C121" t="s">
        <v>341</v>
      </c>
      <c r="D121">
        <v>8</v>
      </c>
      <c r="E121">
        <v>36</v>
      </c>
      <c r="F121" t="s">
        <v>64</v>
      </c>
      <c r="G121" t="s">
        <v>292</v>
      </c>
      <c r="H121">
        <f>'DNA Loop Engine'!$B$5</f>
        <v>50</v>
      </c>
      <c r="I121" s="12" t="str">
        <f>IF(H121&lt;D121,"⏳ Pending",IF(H121&gt;=E121,"✅ Complete","🔄 Growing"))</f>
        <v>✅ Complete</v>
      </c>
      <c r="J121" s="11">
        <f>IF(H121&lt;D121,0,IF(H121&gt;=E121,1,(H121-D121)/(E121-D121)))</f>
        <v>1</v>
      </c>
      <c r="K121" s="11" t="s">
        <v>159</v>
      </c>
      <c r="L121" s="13">
        <v>-0.28000000000000003</v>
      </c>
      <c r="M121" s="13">
        <v>0.28000000000000003</v>
      </c>
      <c r="N121" s="13">
        <v>0</v>
      </c>
      <c r="O121" t="s">
        <v>311</v>
      </c>
      <c r="P121" s="7">
        <f t="shared" si="9"/>
        <v>-0.28000000000000003</v>
      </c>
      <c r="Q121" s="7">
        <f t="shared" si="10"/>
        <v>0.28000000000000003</v>
      </c>
      <c r="R121" s="7">
        <f t="shared" si="11"/>
        <v>0</v>
      </c>
      <c r="S121" s="7"/>
      <c r="T121" s="7"/>
      <c r="U121" s="7"/>
    </row>
    <row r="122" spans="1:21">
      <c r="A122" t="s">
        <v>342</v>
      </c>
      <c r="B122" t="s">
        <v>309</v>
      </c>
      <c r="C122" t="s">
        <v>343</v>
      </c>
      <c r="D122">
        <v>8</v>
      </c>
      <c r="E122">
        <v>36</v>
      </c>
      <c r="F122" t="s">
        <v>64</v>
      </c>
      <c r="G122" t="s">
        <v>292</v>
      </c>
      <c r="H122">
        <f>'DNA Loop Engine'!$B$5</f>
        <v>50</v>
      </c>
      <c r="I122" s="12" t="str">
        <f>IF(H122&lt;D122,"⏳ Pending",IF(H122&gt;=E122,"✅ Complete","🔄 Growing"))</f>
        <v>✅ Complete</v>
      </c>
      <c r="J122" s="11">
        <f>IF(H122&lt;D122,0,IF(H122&gt;=E122,1,(H122-D122)/(E122-D122)))</f>
        <v>1</v>
      </c>
      <c r="K122" s="11" t="s">
        <v>164</v>
      </c>
      <c r="L122" s="13">
        <v>-0.3</v>
      </c>
      <c r="M122" s="13">
        <v>0.18</v>
      </c>
      <c r="N122" s="13">
        <v>0</v>
      </c>
      <c r="O122" t="s">
        <v>311</v>
      </c>
      <c r="P122" s="7">
        <f t="shared" si="9"/>
        <v>-0.3</v>
      </c>
      <c r="Q122" s="7">
        <f t="shared" si="10"/>
        <v>0.18</v>
      </c>
      <c r="R122" s="7">
        <f t="shared" si="11"/>
        <v>0</v>
      </c>
      <c r="S122" s="7"/>
      <c r="T122" s="7"/>
      <c r="U122" s="7"/>
    </row>
    <row r="123" spans="1:21">
      <c r="A123" t="s">
        <v>344</v>
      </c>
      <c r="B123" t="s">
        <v>309</v>
      </c>
      <c r="C123" t="s">
        <v>345</v>
      </c>
      <c r="D123">
        <v>8</v>
      </c>
      <c r="E123">
        <v>36</v>
      </c>
      <c r="F123" t="s">
        <v>64</v>
      </c>
      <c r="G123" t="s">
        <v>292</v>
      </c>
      <c r="H123">
        <f>'DNA Loop Engine'!$B$5</f>
        <v>50</v>
      </c>
      <c r="I123" s="12" t="str">
        <f>IF(H123&lt;D123,"⏳ Pending",IF(H123&gt;=E123,"✅ Complete","🔄 Growing"))</f>
        <v>✅ Complete</v>
      </c>
      <c r="J123" s="11">
        <f>IF(H123&lt;D123,0,IF(H123&gt;=E123,1,(H123-D123)/(E123-D123)))</f>
        <v>1</v>
      </c>
      <c r="K123" s="11" t="s">
        <v>169</v>
      </c>
      <c r="L123" s="13">
        <v>-0.3</v>
      </c>
      <c r="M123" s="13">
        <v>0.18</v>
      </c>
      <c r="N123" s="13">
        <v>0</v>
      </c>
      <c r="O123" t="s">
        <v>311</v>
      </c>
      <c r="P123" s="7">
        <f t="shared" si="9"/>
        <v>-0.3</v>
      </c>
      <c r="Q123" s="7">
        <f t="shared" si="10"/>
        <v>0.18</v>
      </c>
      <c r="R123" s="7">
        <f t="shared" si="11"/>
        <v>0</v>
      </c>
      <c r="S123" s="7"/>
      <c r="T123" s="7"/>
      <c r="U123" s="7"/>
    </row>
    <row r="124" spans="1:21">
      <c r="A124" t="s">
        <v>346</v>
      </c>
      <c r="B124" t="s">
        <v>309</v>
      </c>
      <c r="C124" t="s">
        <v>347</v>
      </c>
      <c r="D124">
        <v>8</v>
      </c>
      <c r="E124">
        <v>36</v>
      </c>
      <c r="F124" t="s">
        <v>64</v>
      </c>
      <c r="G124" t="s">
        <v>292</v>
      </c>
      <c r="H124">
        <f>'DNA Loop Engine'!$B$5</f>
        <v>50</v>
      </c>
      <c r="I124" s="12" t="str">
        <f>IF(H124&lt;D124,"⏳ Pending",IF(H124&gt;=E124,"✅ Complete","🔄 Growing"))</f>
        <v>✅ Complete</v>
      </c>
      <c r="J124" s="11">
        <f>IF(H124&lt;D124,0,IF(H124&gt;=E124,1,(H124-D124)/(E124-D124)))</f>
        <v>1</v>
      </c>
      <c r="K124" s="11" t="s">
        <v>164</v>
      </c>
      <c r="L124" s="13">
        <v>-0.3</v>
      </c>
      <c r="M124" s="13">
        <v>0.15</v>
      </c>
      <c r="N124" s="13">
        <v>0</v>
      </c>
      <c r="O124" t="s">
        <v>311</v>
      </c>
      <c r="P124" s="7">
        <f t="shared" si="9"/>
        <v>-0.3</v>
      </c>
      <c r="Q124" s="7">
        <f t="shared" si="10"/>
        <v>0.15</v>
      </c>
      <c r="R124" s="7">
        <f t="shared" si="11"/>
        <v>0</v>
      </c>
      <c r="S124" s="7"/>
      <c r="T124" s="7"/>
      <c r="U124" s="7"/>
    </row>
    <row r="125" spans="1:21">
      <c r="A125" t="s">
        <v>348</v>
      </c>
      <c r="B125" t="s">
        <v>309</v>
      </c>
      <c r="C125" t="s">
        <v>349</v>
      </c>
      <c r="D125">
        <v>8</v>
      </c>
      <c r="E125">
        <v>36</v>
      </c>
      <c r="F125" t="s">
        <v>64</v>
      </c>
      <c r="G125" t="s">
        <v>292</v>
      </c>
      <c r="H125">
        <f>'DNA Loop Engine'!$B$5</f>
        <v>50</v>
      </c>
      <c r="I125" s="12" t="str">
        <f>IF(H125&lt;D125,"⏳ Pending",IF(H125&gt;=E125,"✅ Complete","🔄 Growing"))</f>
        <v>✅ Complete</v>
      </c>
      <c r="J125" s="11">
        <f>IF(H125&lt;D125,0,IF(H125&gt;=E125,1,(H125-D125)/(E125-D125)))</f>
        <v>1</v>
      </c>
      <c r="K125" s="11" t="s">
        <v>169</v>
      </c>
      <c r="L125" s="13">
        <v>-0.3</v>
      </c>
      <c r="M125" s="13">
        <v>0.15</v>
      </c>
      <c r="N125" s="13">
        <v>0</v>
      </c>
      <c r="O125" t="s">
        <v>311</v>
      </c>
      <c r="P125" s="7">
        <f t="shared" si="9"/>
        <v>-0.3</v>
      </c>
      <c r="Q125" s="7">
        <f t="shared" si="10"/>
        <v>0.15</v>
      </c>
      <c r="R125" s="7">
        <f t="shared" si="11"/>
        <v>0</v>
      </c>
      <c r="S125" s="7"/>
      <c r="T125" s="7"/>
      <c r="U125" s="7"/>
    </row>
    <row r="126" spans="1:21">
      <c r="A126" t="s">
        <v>350</v>
      </c>
      <c r="B126" t="s">
        <v>309</v>
      </c>
      <c r="C126" t="s">
        <v>351</v>
      </c>
      <c r="D126">
        <v>8</v>
      </c>
      <c r="E126">
        <v>36</v>
      </c>
      <c r="F126" t="s">
        <v>64</v>
      </c>
      <c r="G126" t="s">
        <v>292</v>
      </c>
      <c r="H126">
        <f>'DNA Loop Engine'!$B$5</f>
        <v>50</v>
      </c>
      <c r="I126" s="12" t="str">
        <f>IF(H126&lt;D126,"⏳ Pending",IF(H126&gt;=E126,"✅ Complete","🔄 Growing"))</f>
        <v>✅ Complete</v>
      </c>
      <c r="J126" s="11">
        <f>IF(H126&lt;D126,0,IF(H126&gt;=E126,1,(H126-D126)/(E126-D126)))</f>
        <v>1</v>
      </c>
      <c r="K126" s="11" t="s">
        <v>188</v>
      </c>
      <c r="L126" s="13">
        <v>-0.14000000000000001</v>
      </c>
      <c r="M126" s="13">
        <v>-0.15</v>
      </c>
      <c r="N126" s="13">
        <v>0</v>
      </c>
      <c r="O126" t="s">
        <v>311</v>
      </c>
      <c r="P126" s="7">
        <f t="shared" si="9"/>
        <v>-0.14000000000000001</v>
      </c>
      <c r="Q126" s="7">
        <f t="shared" si="10"/>
        <v>-0.15</v>
      </c>
      <c r="R126" s="7">
        <f t="shared" si="11"/>
        <v>0</v>
      </c>
      <c r="S126" s="7"/>
      <c r="T126" s="7"/>
      <c r="U126" s="7"/>
    </row>
    <row r="127" spans="1:21">
      <c r="A127" t="s">
        <v>352</v>
      </c>
      <c r="B127" t="s">
        <v>309</v>
      </c>
      <c r="C127" t="s">
        <v>353</v>
      </c>
      <c r="D127">
        <v>8</v>
      </c>
      <c r="E127">
        <v>36</v>
      </c>
      <c r="F127" t="s">
        <v>64</v>
      </c>
      <c r="G127" t="s">
        <v>292</v>
      </c>
      <c r="H127">
        <f>'DNA Loop Engine'!$B$5</f>
        <v>50</v>
      </c>
      <c r="I127" s="12" t="str">
        <f>IF(H127&lt;D127,"⏳ Pending",IF(H127&gt;=E127,"✅ Complete","🔄 Growing"))</f>
        <v>✅ Complete</v>
      </c>
      <c r="J127" s="11">
        <f>IF(H127&lt;D127,0,IF(H127&gt;=E127,1,(H127-D127)/(E127-D127)))</f>
        <v>1</v>
      </c>
      <c r="K127" s="11" t="s">
        <v>188</v>
      </c>
      <c r="L127" s="13">
        <v>-0.14000000000000001</v>
      </c>
      <c r="M127" s="13">
        <v>-0.18</v>
      </c>
      <c r="N127" s="13">
        <v>0</v>
      </c>
      <c r="O127" t="s">
        <v>311</v>
      </c>
      <c r="P127" s="7">
        <f t="shared" si="9"/>
        <v>-0.14000000000000001</v>
      </c>
      <c r="Q127" s="7">
        <f t="shared" si="10"/>
        <v>-0.18</v>
      </c>
      <c r="R127" s="7">
        <f t="shared" si="11"/>
        <v>0</v>
      </c>
      <c r="S127" s="7"/>
      <c r="T127" s="7"/>
      <c r="U127" s="7"/>
    </row>
    <row r="128" spans="1:21">
      <c r="A128" t="s">
        <v>354</v>
      </c>
      <c r="B128" t="s">
        <v>309</v>
      </c>
      <c r="C128" t="s">
        <v>355</v>
      </c>
      <c r="D128">
        <v>8</v>
      </c>
      <c r="E128">
        <v>36</v>
      </c>
      <c r="F128" t="s">
        <v>64</v>
      </c>
      <c r="G128" t="s">
        <v>292</v>
      </c>
      <c r="H128">
        <f>'DNA Loop Engine'!$B$5</f>
        <v>50</v>
      </c>
      <c r="I128" s="12" t="str">
        <f>IF(H128&lt;D128,"⏳ Pending",IF(H128&gt;=E128,"✅ Complete","🔄 Growing"))</f>
        <v>✅ Complete</v>
      </c>
      <c r="J128" s="11">
        <f>IF(H128&lt;D128,0,IF(H128&gt;=E128,1,(H128-D128)/(E128-D128)))</f>
        <v>1</v>
      </c>
      <c r="K128" s="11" t="s">
        <v>188</v>
      </c>
      <c r="L128" s="13">
        <v>-0.14000000000000001</v>
      </c>
      <c r="M128" s="13">
        <v>-0.02</v>
      </c>
      <c r="N128" s="13">
        <v>-0.02</v>
      </c>
      <c r="O128" t="s">
        <v>311</v>
      </c>
      <c r="P128" s="7">
        <f t="shared" si="9"/>
        <v>-0.14000000000000001</v>
      </c>
      <c r="Q128" s="7">
        <f t="shared" si="10"/>
        <v>-0.02</v>
      </c>
      <c r="R128" s="7">
        <f t="shared" si="11"/>
        <v>-0.02</v>
      </c>
      <c r="S128" s="7"/>
      <c r="T128" s="7"/>
      <c r="U128" s="7"/>
    </row>
    <row r="129" spans="1:21">
      <c r="A129" t="s">
        <v>356</v>
      </c>
      <c r="B129" t="s">
        <v>309</v>
      </c>
      <c r="C129" t="s">
        <v>357</v>
      </c>
      <c r="D129">
        <v>8</v>
      </c>
      <c r="E129">
        <v>36</v>
      </c>
      <c r="F129" t="s">
        <v>64</v>
      </c>
      <c r="G129" t="s">
        <v>292</v>
      </c>
      <c r="H129">
        <f>'DNA Loop Engine'!$B$5</f>
        <v>50</v>
      </c>
      <c r="I129" s="12" t="str">
        <f>IF(H129&lt;D129,"⏳ Pending",IF(H129&gt;=E129,"✅ Complete","🔄 Growing"))</f>
        <v>✅ Complete</v>
      </c>
      <c r="J129" s="11">
        <f>IF(H129&lt;D129,0,IF(H129&gt;=E129,1,(H129-D129)/(E129-D129)))</f>
        <v>1</v>
      </c>
      <c r="K129" s="11" t="s">
        <v>188</v>
      </c>
      <c r="L129" s="13">
        <v>-0.12</v>
      </c>
      <c r="M129" s="13">
        <v>-0.04</v>
      </c>
      <c r="N129" s="13">
        <v>-0.02</v>
      </c>
      <c r="O129" t="s">
        <v>311</v>
      </c>
      <c r="P129" s="7">
        <f t="shared" si="9"/>
        <v>-0.12</v>
      </c>
      <c r="Q129" s="7">
        <f t="shared" si="10"/>
        <v>-0.04</v>
      </c>
      <c r="R129" s="7">
        <f t="shared" si="11"/>
        <v>-0.02</v>
      </c>
      <c r="S129" s="7"/>
      <c r="T129" s="7"/>
      <c r="U129" s="7"/>
    </row>
    <row r="130" spans="1:21">
      <c r="A130" t="s">
        <v>358</v>
      </c>
      <c r="B130" t="s">
        <v>309</v>
      </c>
      <c r="C130" t="s">
        <v>359</v>
      </c>
      <c r="D130">
        <v>8</v>
      </c>
      <c r="E130">
        <v>36</v>
      </c>
      <c r="F130" t="s">
        <v>64</v>
      </c>
      <c r="G130" t="s">
        <v>292</v>
      </c>
      <c r="H130">
        <f>'DNA Loop Engine'!$B$5</f>
        <v>50</v>
      </c>
      <c r="I130" s="12" t="str">
        <f>IF(H130&lt;D130,"⏳ Pending",IF(H130&gt;=E130,"✅ Complete","🔄 Growing"))</f>
        <v>✅ Complete</v>
      </c>
      <c r="J130" s="11">
        <f>IF(H130&lt;D130,0,IF(H130&gt;=E130,1,(H130-D130)/(E130-D130)))</f>
        <v>1</v>
      </c>
      <c r="K130" s="11" t="s">
        <v>188</v>
      </c>
      <c r="L130" s="13">
        <v>-0.12</v>
      </c>
      <c r="M130" s="13">
        <v>-0.06</v>
      </c>
      <c r="N130" s="13">
        <v>-0.02</v>
      </c>
      <c r="O130" t="s">
        <v>311</v>
      </c>
      <c r="P130" s="7">
        <f t="shared" ref="P130:P159" si="12">L130*J130</f>
        <v>-0.12</v>
      </c>
      <c r="Q130" s="7">
        <f t="shared" ref="Q130:Q159" si="13">M130*J130</f>
        <v>-0.06</v>
      </c>
      <c r="R130" s="7">
        <f t="shared" ref="R130:R159" si="14">N130*J130</f>
        <v>-0.02</v>
      </c>
      <c r="S130" s="7"/>
      <c r="T130" s="7"/>
      <c r="U130" s="7"/>
    </row>
    <row r="131" spans="1:21">
      <c r="A131" t="s">
        <v>360</v>
      </c>
      <c r="B131" t="s">
        <v>309</v>
      </c>
      <c r="C131" t="s">
        <v>361</v>
      </c>
      <c r="D131">
        <v>8</v>
      </c>
      <c r="E131">
        <v>36</v>
      </c>
      <c r="F131" t="s">
        <v>64</v>
      </c>
      <c r="G131" t="s">
        <v>292</v>
      </c>
      <c r="H131">
        <f>'DNA Loop Engine'!$B$5</f>
        <v>50</v>
      </c>
      <c r="I131" s="12" t="str">
        <f>IF(H131&lt;D131,"⏳ Pending",IF(H131&gt;=E131,"✅ Complete","🔄 Growing"))</f>
        <v>✅ Complete</v>
      </c>
      <c r="J131" s="11">
        <f>IF(H131&lt;D131,0,IF(H131&gt;=E131,1,(H131-D131)/(E131-D131)))</f>
        <v>1</v>
      </c>
      <c r="K131" s="11" t="s">
        <v>192</v>
      </c>
      <c r="L131" s="13">
        <v>-0.16</v>
      </c>
      <c r="M131" s="13">
        <v>-0.5</v>
      </c>
      <c r="N131" s="13">
        <v>0.02</v>
      </c>
      <c r="O131" t="s">
        <v>311</v>
      </c>
      <c r="P131" s="7">
        <f t="shared" si="12"/>
        <v>-0.16</v>
      </c>
      <c r="Q131" s="7">
        <f t="shared" si="13"/>
        <v>-0.5</v>
      </c>
      <c r="R131" s="7">
        <f t="shared" si="14"/>
        <v>0.02</v>
      </c>
      <c r="S131" s="7"/>
      <c r="T131" s="7"/>
      <c r="U131" s="7"/>
    </row>
    <row r="132" spans="1:21">
      <c r="A132" t="s">
        <v>362</v>
      </c>
      <c r="B132" t="s">
        <v>309</v>
      </c>
      <c r="C132" t="s">
        <v>363</v>
      </c>
      <c r="D132">
        <v>8</v>
      </c>
      <c r="E132">
        <v>36</v>
      </c>
      <c r="F132" t="s">
        <v>64</v>
      </c>
      <c r="G132" t="s">
        <v>292</v>
      </c>
      <c r="H132">
        <f>'DNA Loop Engine'!$B$5</f>
        <v>50</v>
      </c>
      <c r="I132" s="12" t="str">
        <f>IF(H132&lt;D132,"⏳ Pending",IF(H132&gt;=E132,"✅ Complete","🔄 Growing"))</f>
        <v>✅ Complete</v>
      </c>
      <c r="J132" s="11">
        <f>IF(H132&lt;D132,0,IF(H132&gt;=E132,1,(H132-D132)/(E132-D132)))</f>
        <v>1</v>
      </c>
      <c r="K132" s="11" t="s">
        <v>192</v>
      </c>
      <c r="L132" s="13">
        <v>-0.16</v>
      </c>
      <c r="M132" s="13">
        <v>-0.55000000000000004</v>
      </c>
      <c r="N132" s="13">
        <v>0.02</v>
      </c>
      <c r="O132" t="s">
        <v>311</v>
      </c>
      <c r="P132" s="7">
        <f t="shared" si="12"/>
        <v>-0.16</v>
      </c>
      <c r="Q132" s="7">
        <f t="shared" si="13"/>
        <v>-0.55000000000000004</v>
      </c>
      <c r="R132" s="7">
        <f t="shared" si="14"/>
        <v>0.02</v>
      </c>
      <c r="S132" s="7"/>
      <c r="T132" s="7"/>
      <c r="U132" s="7"/>
    </row>
    <row r="133" spans="1:21">
      <c r="A133" t="s">
        <v>364</v>
      </c>
      <c r="B133" t="s">
        <v>309</v>
      </c>
      <c r="C133" t="s">
        <v>365</v>
      </c>
      <c r="D133">
        <v>8</v>
      </c>
      <c r="E133">
        <v>36</v>
      </c>
      <c r="F133" t="s">
        <v>64</v>
      </c>
      <c r="G133" t="s">
        <v>292</v>
      </c>
      <c r="H133">
        <f>'DNA Loop Engine'!$B$5</f>
        <v>50</v>
      </c>
      <c r="I133" s="12" t="str">
        <f>IF(H133&lt;D133,"⏳ Pending",IF(H133&gt;=E133,"✅ Complete","🔄 Growing"))</f>
        <v>✅ Complete</v>
      </c>
      <c r="J133" s="11">
        <f>IF(H133&lt;D133,0,IF(H133&gt;=E133,1,(H133-D133)/(E133-D133)))</f>
        <v>1</v>
      </c>
      <c r="K133" s="11" t="s">
        <v>201</v>
      </c>
      <c r="L133" s="13">
        <v>-0.16</v>
      </c>
      <c r="M133" s="13">
        <v>-0.57999999999999996</v>
      </c>
      <c r="N133" s="13">
        <v>0.02</v>
      </c>
      <c r="O133" t="s">
        <v>311</v>
      </c>
      <c r="P133" s="7">
        <f t="shared" si="12"/>
        <v>-0.16</v>
      </c>
      <c r="Q133" s="7">
        <f t="shared" si="13"/>
        <v>-0.57999999999999996</v>
      </c>
      <c r="R133" s="7">
        <f t="shared" si="14"/>
        <v>0.02</v>
      </c>
      <c r="S133" s="7"/>
      <c r="T133" s="7"/>
      <c r="U133" s="7"/>
    </row>
    <row r="134" spans="1:21">
      <c r="A134" t="s">
        <v>366</v>
      </c>
      <c r="B134" t="s">
        <v>309</v>
      </c>
      <c r="C134" t="s">
        <v>367</v>
      </c>
      <c r="D134">
        <v>8</v>
      </c>
      <c r="E134">
        <v>36</v>
      </c>
      <c r="F134" t="s">
        <v>64</v>
      </c>
      <c r="G134" t="s">
        <v>292</v>
      </c>
      <c r="H134">
        <f>'DNA Loop Engine'!$B$5</f>
        <v>50</v>
      </c>
      <c r="I134" s="12" t="str">
        <f>IF(H134&lt;D134,"⏳ Pending",IF(H134&gt;=E134,"✅ Complete","🔄 Growing"))</f>
        <v>✅ Complete</v>
      </c>
      <c r="J134" s="11">
        <f>IF(H134&lt;D134,0,IF(H134&gt;=E134,1,(H134-D134)/(E134-D134)))</f>
        <v>1</v>
      </c>
      <c r="K134" s="11" t="s">
        <v>205</v>
      </c>
      <c r="L134" s="13">
        <v>-0.17</v>
      </c>
      <c r="M134" s="13">
        <v>-0.6</v>
      </c>
      <c r="N134" s="13">
        <v>0</v>
      </c>
      <c r="O134" t="s">
        <v>311</v>
      </c>
      <c r="P134" s="7">
        <f t="shared" si="12"/>
        <v>-0.17</v>
      </c>
      <c r="Q134" s="7">
        <f t="shared" si="13"/>
        <v>-0.6</v>
      </c>
      <c r="R134" s="7">
        <f t="shared" si="14"/>
        <v>0</v>
      </c>
      <c r="S134" s="7"/>
      <c r="T134" s="7"/>
      <c r="U134" s="7"/>
    </row>
    <row r="135" spans="1:21">
      <c r="A135" t="s">
        <v>368</v>
      </c>
      <c r="B135" t="s">
        <v>309</v>
      </c>
      <c r="C135" t="s">
        <v>369</v>
      </c>
      <c r="D135">
        <v>8</v>
      </c>
      <c r="E135">
        <v>36</v>
      </c>
      <c r="F135" t="s">
        <v>64</v>
      </c>
      <c r="G135" t="s">
        <v>292</v>
      </c>
      <c r="H135">
        <f>'DNA Loop Engine'!$B$5</f>
        <v>50</v>
      </c>
      <c r="I135" s="12" t="str">
        <f>IF(H135&lt;D135,"⏳ Pending",IF(H135&gt;=E135,"✅ Complete","🔄 Growing"))</f>
        <v>✅ Complete</v>
      </c>
      <c r="J135" s="11">
        <f>IF(H135&lt;D135,0,IF(H135&gt;=E135,1,(H135-D135)/(E135-D135)))</f>
        <v>1</v>
      </c>
      <c r="K135" s="11" t="s">
        <v>154</v>
      </c>
      <c r="L135" s="13">
        <v>-0.2</v>
      </c>
      <c r="M135" s="13">
        <v>0.5</v>
      </c>
      <c r="N135" s="13">
        <v>0</v>
      </c>
      <c r="O135" t="s">
        <v>311</v>
      </c>
      <c r="P135" s="7">
        <f t="shared" si="12"/>
        <v>-0.2</v>
      </c>
      <c r="Q135" s="7">
        <f t="shared" si="13"/>
        <v>0.5</v>
      </c>
      <c r="R135" s="7">
        <f t="shared" si="14"/>
        <v>0</v>
      </c>
      <c r="S135" s="7"/>
      <c r="T135" s="7"/>
      <c r="U135" s="7"/>
    </row>
    <row r="136" spans="1:21">
      <c r="A136" t="s">
        <v>370</v>
      </c>
      <c r="B136" t="s">
        <v>309</v>
      </c>
      <c r="C136" t="s">
        <v>371</v>
      </c>
      <c r="D136">
        <v>8</v>
      </c>
      <c r="E136">
        <v>36</v>
      </c>
      <c r="F136" t="s">
        <v>64</v>
      </c>
      <c r="G136" t="s">
        <v>292</v>
      </c>
      <c r="H136">
        <f>'DNA Loop Engine'!$B$5</f>
        <v>50</v>
      </c>
      <c r="I136" s="12" t="str">
        <f>IF(H136&lt;D136,"⏳ Pending",IF(H136&gt;=E136,"✅ Complete","🔄 Growing"))</f>
        <v>✅ Complete</v>
      </c>
      <c r="J136" s="11">
        <f>IF(H136&lt;D136,0,IF(H136&gt;=E136,1,(H136-D136)/(E136-D136)))</f>
        <v>1</v>
      </c>
      <c r="K136" s="11" t="s">
        <v>141</v>
      </c>
      <c r="L136" s="13">
        <v>-0.14000000000000001</v>
      </c>
      <c r="M136" s="13">
        <v>0.4</v>
      </c>
      <c r="N136" s="13">
        <v>0.04</v>
      </c>
      <c r="O136" t="s">
        <v>311</v>
      </c>
      <c r="P136" s="7">
        <f t="shared" si="12"/>
        <v>-0.14000000000000001</v>
      </c>
      <c r="Q136" s="7">
        <f t="shared" si="13"/>
        <v>0.4</v>
      </c>
      <c r="R136" s="7">
        <f t="shared" si="14"/>
        <v>0.04</v>
      </c>
      <c r="S136" s="7"/>
      <c r="T136" s="7"/>
      <c r="U136" s="7"/>
    </row>
    <row r="137" spans="1:21">
      <c r="A137" t="s">
        <v>372</v>
      </c>
      <c r="B137" t="s">
        <v>309</v>
      </c>
      <c r="C137" t="s">
        <v>373</v>
      </c>
      <c r="D137">
        <v>8</v>
      </c>
      <c r="E137">
        <v>36</v>
      </c>
      <c r="F137" t="s">
        <v>64</v>
      </c>
      <c r="G137" t="s">
        <v>292</v>
      </c>
      <c r="H137">
        <f>'DNA Loop Engine'!$B$5</f>
        <v>50</v>
      </c>
      <c r="I137" s="12" t="str">
        <f>IF(H137&lt;D137,"⏳ Pending",IF(H137&gt;=E137,"✅ Complete","🔄 Growing"))</f>
        <v>✅ Complete</v>
      </c>
      <c r="J137" s="11">
        <f>IF(H137&lt;D137,0,IF(H137&gt;=E137,1,(H137-D137)/(E137-D137)))</f>
        <v>1</v>
      </c>
      <c r="K137" s="11" t="s">
        <v>141</v>
      </c>
      <c r="L137" s="13">
        <v>-0.14000000000000001</v>
      </c>
      <c r="M137" s="13">
        <v>0.38</v>
      </c>
      <c r="N137" s="13">
        <v>0.04</v>
      </c>
      <c r="O137" t="s">
        <v>311</v>
      </c>
      <c r="P137" s="7">
        <f t="shared" si="12"/>
        <v>-0.14000000000000001</v>
      </c>
      <c r="Q137" s="7">
        <f t="shared" si="13"/>
        <v>0.38</v>
      </c>
      <c r="R137" s="7">
        <f t="shared" si="14"/>
        <v>0.04</v>
      </c>
      <c r="S137" s="7"/>
      <c r="T137" s="7"/>
      <c r="U137" s="7"/>
    </row>
    <row r="138" spans="1:21">
      <c r="A138" t="s">
        <v>290</v>
      </c>
      <c r="B138" t="s">
        <v>309</v>
      </c>
      <c r="C138" t="s">
        <v>374</v>
      </c>
      <c r="D138">
        <v>8</v>
      </c>
      <c r="E138">
        <v>28</v>
      </c>
      <c r="F138" t="s">
        <v>64</v>
      </c>
      <c r="G138" t="s">
        <v>292</v>
      </c>
      <c r="H138">
        <f>'DNA Loop Engine'!$B$5</f>
        <v>50</v>
      </c>
      <c r="I138" s="12" t="str">
        <f>IF(H138&lt;D138,"⏳ Pending",IF(H138&gt;=E138,"✅ Complete","🔄 Growing"))</f>
        <v>✅ Complete</v>
      </c>
      <c r="J138" s="11">
        <f>IF(H138&lt;D138,0,IF(H138&gt;=E138,1,(H138-D138)/(E138-D138)))</f>
        <v>1</v>
      </c>
      <c r="K138" s="11" t="s">
        <v>141</v>
      </c>
      <c r="L138" s="13">
        <v>-0.1</v>
      </c>
      <c r="M138" s="13">
        <v>0.22</v>
      </c>
      <c r="N138" s="13">
        <v>0.02</v>
      </c>
      <c r="O138" t="s">
        <v>311</v>
      </c>
      <c r="P138" s="7">
        <f t="shared" si="12"/>
        <v>-0.1</v>
      </c>
      <c r="Q138" s="7">
        <f t="shared" si="13"/>
        <v>0.22</v>
      </c>
      <c r="R138" s="7">
        <f t="shared" si="14"/>
        <v>0.02</v>
      </c>
      <c r="S138" s="7"/>
      <c r="T138" s="7"/>
      <c r="U138" s="7"/>
    </row>
    <row r="139" spans="1:21">
      <c r="A139" t="s">
        <v>375</v>
      </c>
      <c r="B139" t="s">
        <v>309</v>
      </c>
      <c r="C139" t="s">
        <v>376</v>
      </c>
      <c r="D139">
        <v>8</v>
      </c>
      <c r="E139">
        <v>28</v>
      </c>
      <c r="F139" t="s">
        <v>64</v>
      </c>
      <c r="G139" t="s">
        <v>292</v>
      </c>
      <c r="H139">
        <f>'DNA Loop Engine'!$B$5</f>
        <v>50</v>
      </c>
      <c r="I139" s="12" t="str">
        <f>IF(H139&lt;D139,"⏳ Pending",IF(H139&gt;=E139,"✅ Complete","🔄 Growing"))</f>
        <v>✅ Complete</v>
      </c>
      <c r="J139" s="11">
        <f>IF(H139&lt;D139,0,IF(H139&gt;=E139,1,(H139-D139)/(E139-D139)))</f>
        <v>1</v>
      </c>
      <c r="K139" s="11" t="s">
        <v>61</v>
      </c>
      <c r="L139" s="13">
        <v>-0.03</v>
      </c>
      <c r="M139" s="13">
        <v>0.76</v>
      </c>
      <c r="N139" s="13">
        <v>0.1</v>
      </c>
      <c r="O139" t="s">
        <v>311</v>
      </c>
      <c r="P139" s="7">
        <f t="shared" si="12"/>
        <v>-0.03</v>
      </c>
      <c r="Q139" s="7">
        <f t="shared" si="13"/>
        <v>0.76</v>
      </c>
      <c r="R139" s="7">
        <f t="shared" si="14"/>
        <v>0.1</v>
      </c>
      <c r="S139" s="7"/>
      <c r="T139" s="7"/>
      <c r="U139" s="7"/>
    </row>
    <row r="140" spans="1:21">
      <c r="A140" t="s">
        <v>377</v>
      </c>
      <c r="B140" t="s">
        <v>309</v>
      </c>
      <c r="C140" t="s">
        <v>378</v>
      </c>
      <c r="D140">
        <v>8</v>
      </c>
      <c r="E140">
        <v>28</v>
      </c>
      <c r="F140" t="s">
        <v>64</v>
      </c>
      <c r="G140" t="s">
        <v>292</v>
      </c>
      <c r="H140">
        <f>'DNA Loop Engine'!$B$5</f>
        <v>50</v>
      </c>
      <c r="I140" s="12" t="str">
        <f>IF(H140&lt;D140,"⏳ Pending",IF(H140&gt;=E140,"✅ Complete","🔄 Growing"))</f>
        <v>✅ Complete</v>
      </c>
      <c r="J140" s="11">
        <f>IF(H140&lt;D140,0,IF(H140&gt;=E140,1,(H140-D140)/(E140-D140)))</f>
        <v>1</v>
      </c>
      <c r="K140" s="11" t="s">
        <v>94</v>
      </c>
      <c r="L140" s="13">
        <v>-0.04</v>
      </c>
      <c r="M140" s="13">
        <v>0.7</v>
      </c>
      <c r="N140" s="13">
        <v>0.1</v>
      </c>
      <c r="O140" t="s">
        <v>311</v>
      </c>
      <c r="P140" s="7">
        <f t="shared" si="12"/>
        <v>-0.04</v>
      </c>
      <c r="Q140" s="7">
        <f t="shared" si="13"/>
        <v>0.7</v>
      </c>
      <c r="R140" s="7">
        <f t="shared" si="14"/>
        <v>0.1</v>
      </c>
      <c r="S140" s="7"/>
      <c r="T140" s="7"/>
      <c r="U140" s="7"/>
    </row>
    <row r="141" spans="1:21">
      <c r="A141" t="s">
        <v>379</v>
      </c>
      <c r="B141" t="s">
        <v>309</v>
      </c>
      <c r="C141" t="s">
        <v>380</v>
      </c>
      <c r="D141">
        <v>8</v>
      </c>
      <c r="E141">
        <v>28</v>
      </c>
      <c r="F141" t="s">
        <v>64</v>
      </c>
      <c r="G141" t="s">
        <v>292</v>
      </c>
      <c r="H141">
        <f>'DNA Loop Engine'!$B$5</f>
        <v>50</v>
      </c>
      <c r="I141" s="12" t="str">
        <f>IF(H141&lt;D141,"⏳ Pending",IF(H141&gt;=E141,"✅ Complete","🔄 Growing"))</f>
        <v>✅ Complete</v>
      </c>
      <c r="J141" s="11">
        <f>IF(H141&lt;D141,0,IF(H141&gt;=E141,1,(H141-D141)/(E141-D141)))</f>
        <v>1</v>
      </c>
      <c r="K141" s="11" t="s">
        <v>94</v>
      </c>
      <c r="L141" s="13">
        <v>-0.05</v>
      </c>
      <c r="M141" s="13">
        <v>0.68</v>
      </c>
      <c r="N141" s="13">
        <v>0.08</v>
      </c>
      <c r="O141" t="s">
        <v>311</v>
      </c>
      <c r="P141" s="7">
        <f t="shared" si="12"/>
        <v>-0.05</v>
      </c>
      <c r="Q141" s="7">
        <f t="shared" si="13"/>
        <v>0.68</v>
      </c>
      <c r="R141" s="7">
        <f t="shared" si="14"/>
        <v>0.08</v>
      </c>
      <c r="S141" s="7"/>
      <c r="T141" s="7"/>
      <c r="U141" s="7"/>
    </row>
    <row r="142" spans="1:21">
      <c r="A142" t="s">
        <v>381</v>
      </c>
      <c r="B142" t="s">
        <v>309</v>
      </c>
      <c r="C142" t="s">
        <v>382</v>
      </c>
      <c r="D142">
        <v>8</v>
      </c>
      <c r="E142">
        <v>36</v>
      </c>
      <c r="F142" t="s">
        <v>64</v>
      </c>
      <c r="G142" t="s">
        <v>292</v>
      </c>
      <c r="H142">
        <f>'DNA Loop Engine'!$B$5</f>
        <v>50</v>
      </c>
      <c r="I142" s="12" t="str">
        <f>IF(H142&lt;D142,"⏳ Pending",IF(H142&gt;=E142,"✅ Complete","🔄 Growing"))</f>
        <v>✅ Complete</v>
      </c>
      <c r="J142" s="11">
        <f>IF(H142&lt;D142,0,IF(H142&gt;=E142,1,(H142-D142)/(E142-D142)))</f>
        <v>1</v>
      </c>
      <c r="K142" s="11" t="s">
        <v>127</v>
      </c>
      <c r="L142" s="13">
        <v>-0.1</v>
      </c>
      <c r="M142" s="13">
        <v>0.57999999999999996</v>
      </c>
      <c r="N142" s="13">
        <v>-0.02</v>
      </c>
      <c r="O142" t="s">
        <v>311</v>
      </c>
      <c r="P142" s="7">
        <f t="shared" si="12"/>
        <v>-0.1</v>
      </c>
      <c r="Q142" s="7">
        <f t="shared" si="13"/>
        <v>0.57999999999999996</v>
      </c>
      <c r="R142" s="7">
        <f t="shared" si="14"/>
        <v>-0.02</v>
      </c>
      <c r="S142" s="7"/>
      <c r="T142" s="7"/>
      <c r="U142" s="7"/>
    </row>
    <row r="143" spans="1:21">
      <c r="A143" t="s">
        <v>383</v>
      </c>
      <c r="B143" t="s">
        <v>309</v>
      </c>
      <c r="C143" t="s">
        <v>384</v>
      </c>
      <c r="D143">
        <v>8</v>
      </c>
      <c r="E143">
        <v>36</v>
      </c>
      <c r="F143" t="s">
        <v>64</v>
      </c>
      <c r="G143" t="s">
        <v>292</v>
      </c>
      <c r="H143">
        <f>'DNA Loop Engine'!$B$5</f>
        <v>50</v>
      </c>
      <c r="I143" s="12" t="str">
        <f>IF(H143&lt;D143,"⏳ Pending",IF(H143&gt;=E143,"✅ Complete","🔄 Growing"))</f>
        <v>✅ Complete</v>
      </c>
      <c r="J143" s="11">
        <f>IF(H143&lt;D143,0,IF(H143&gt;=E143,1,(H143-D143)/(E143-D143)))</f>
        <v>1</v>
      </c>
      <c r="K143" s="11" t="s">
        <v>130</v>
      </c>
      <c r="L143" s="13">
        <v>-0.14000000000000001</v>
      </c>
      <c r="M143" s="13">
        <v>0.45</v>
      </c>
      <c r="N143" s="13">
        <v>-0.02</v>
      </c>
      <c r="O143" t="s">
        <v>311</v>
      </c>
      <c r="P143" s="7">
        <f t="shared" si="12"/>
        <v>-0.14000000000000001</v>
      </c>
      <c r="Q143" s="7">
        <f t="shared" si="13"/>
        <v>0.45</v>
      </c>
      <c r="R143" s="7">
        <f t="shared" si="14"/>
        <v>-0.02</v>
      </c>
      <c r="S143" s="7"/>
      <c r="T143" s="7"/>
      <c r="U143" s="7"/>
    </row>
    <row r="144" spans="1:21">
      <c r="A144" t="s">
        <v>385</v>
      </c>
      <c r="B144" t="s">
        <v>309</v>
      </c>
      <c r="C144" t="s">
        <v>386</v>
      </c>
      <c r="D144">
        <v>8</v>
      </c>
      <c r="E144">
        <v>36</v>
      </c>
      <c r="F144" t="s">
        <v>64</v>
      </c>
      <c r="G144" t="s">
        <v>292</v>
      </c>
      <c r="H144">
        <f>'DNA Loop Engine'!$B$5</f>
        <v>50</v>
      </c>
      <c r="I144" s="12" t="str">
        <f>IF(H144&lt;D144,"⏳ Pending",IF(H144&gt;=E144,"✅ Complete","🔄 Growing"))</f>
        <v>✅ Complete</v>
      </c>
      <c r="J144" s="11">
        <f>IF(H144&lt;D144,0,IF(H144&gt;=E144,1,(H144-D144)/(E144-D144)))</f>
        <v>1</v>
      </c>
      <c r="K144" s="11" t="s">
        <v>130</v>
      </c>
      <c r="L144" s="13">
        <v>-0.14000000000000001</v>
      </c>
      <c r="M144" s="13">
        <v>0.42</v>
      </c>
      <c r="N144" s="13">
        <v>-0.02</v>
      </c>
      <c r="O144" t="s">
        <v>311</v>
      </c>
      <c r="P144" s="7">
        <f t="shared" si="12"/>
        <v>-0.14000000000000001</v>
      </c>
      <c r="Q144" s="7">
        <f t="shared" si="13"/>
        <v>0.42</v>
      </c>
      <c r="R144" s="7">
        <f t="shared" si="14"/>
        <v>-0.02</v>
      </c>
      <c r="S144" s="7"/>
      <c r="T144" s="7"/>
      <c r="U144" s="7"/>
    </row>
    <row r="145" spans="1:21">
      <c r="A145" t="s">
        <v>387</v>
      </c>
      <c r="B145" t="s">
        <v>309</v>
      </c>
      <c r="C145" t="s">
        <v>388</v>
      </c>
      <c r="D145">
        <v>8</v>
      </c>
      <c r="E145">
        <v>36</v>
      </c>
      <c r="F145" t="s">
        <v>64</v>
      </c>
      <c r="G145" t="s">
        <v>292</v>
      </c>
      <c r="H145">
        <f>'DNA Loop Engine'!$B$5</f>
        <v>50</v>
      </c>
      <c r="I145" s="12" t="str">
        <f>IF(H145&lt;D145,"⏳ Pending",IF(H145&gt;=E145,"✅ Complete","🔄 Growing"))</f>
        <v>✅ Complete</v>
      </c>
      <c r="J145" s="11">
        <f>IF(H145&lt;D145,0,IF(H145&gt;=E145,1,(H145-D145)/(E145-D145)))</f>
        <v>1</v>
      </c>
      <c r="K145" s="11" t="s">
        <v>154</v>
      </c>
      <c r="L145" s="13">
        <v>-0.18</v>
      </c>
      <c r="M145" s="13">
        <v>0.48</v>
      </c>
      <c r="N145" s="13">
        <v>-0.04</v>
      </c>
      <c r="O145" t="s">
        <v>311</v>
      </c>
      <c r="P145" s="7">
        <f t="shared" si="12"/>
        <v>-0.18</v>
      </c>
      <c r="Q145" s="7">
        <f t="shared" si="13"/>
        <v>0.48</v>
      </c>
      <c r="R145" s="7">
        <f t="shared" si="14"/>
        <v>-0.04</v>
      </c>
      <c r="S145" s="7"/>
      <c r="T145" s="7"/>
      <c r="U145" s="7"/>
    </row>
    <row r="146" spans="1:21">
      <c r="A146" t="s">
        <v>389</v>
      </c>
      <c r="B146" t="s">
        <v>309</v>
      </c>
      <c r="C146" t="s">
        <v>390</v>
      </c>
      <c r="D146">
        <v>8</v>
      </c>
      <c r="E146">
        <v>36</v>
      </c>
      <c r="F146" t="s">
        <v>64</v>
      </c>
      <c r="G146" t="s">
        <v>292</v>
      </c>
      <c r="H146">
        <f>'DNA Loop Engine'!$B$5</f>
        <v>50</v>
      </c>
      <c r="I146" s="12" t="str">
        <f>IF(H146&lt;D146,"⏳ Pending",IF(H146&gt;=E146,"✅ Complete","🔄 Growing"))</f>
        <v>✅ Complete</v>
      </c>
      <c r="J146" s="11">
        <f>IF(H146&lt;D146,0,IF(H146&gt;=E146,1,(H146-D146)/(E146-D146)))</f>
        <v>1</v>
      </c>
      <c r="K146" s="11" t="s">
        <v>154</v>
      </c>
      <c r="L146" s="13">
        <v>-0.18</v>
      </c>
      <c r="M146" s="13">
        <v>0.46</v>
      </c>
      <c r="N146" s="13">
        <v>-0.04</v>
      </c>
      <c r="O146" t="s">
        <v>311</v>
      </c>
      <c r="P146" s="7">
        <f t="shared" si="12"/>
        <v>-0.18</v>
      </c>
      <c r="Q146" s="7">
        <f t="shared" si="13"/>
        <v>0.46</v>
      </c>
      <c r="R146" s="7">
        <f t="shared" si="14"/>
        <v>-0.04</v>
      </c>
      <c r="S146" s="7"/>
      <c r="T146" s="7"/>
      <c r="U146" s="7"/>
    </row>
    <row r="147" spans="1:21">
      <c r="A147" t="s">
        <v>391</v>
      </c>
      <c r="B147" t="s">
        <v>309</v>
      </c>
      <c r="C147" t="s">
        <v>392</v>
      </c>
      <c r="D147">
        <v>8</v>
      </c>
      <c r="E147">
        <v>36</v>
      </c>
      <c r="F147" t="s">
        <v>64</v>
      </c>
      <c r="G147" t="s">
        <v>292</v>
      </c>
      <c r="H147">
        <f>'DNA Loop Engine'!$B$5</f>
        <v>50</v>
      </c>
      <c r="I147" s="12" t="str">
        <f>IF(H147&lt;D147,"⏳ Pending",IF(H147&gt;=E147,"✅ Complete","🔄 Growing"))</f>
        <v>✅ Complete</v>
      </c>
      <c r="J147" s="11">
        <f>IF(H147&lt;D147,0,IF(H147&gt;=E147,1,(H147-D147)/(E147-D147)))</f>
        <v>1</v>
      </c>
      <c r="K147" s="11" t="s">
        <v>154</v>
      </c>
      <c r="L147" s="13">
        <v>-0.18</v>
      </c>
      <c r="M147" s="13">
        <v>0.44</v>
      </c>
      <c r="N147" s="13">
        <v>-0.04</v>
      </c>
      <c r="O147" t="s">
        <v>311</v>
      </c>
      <c r="P147" s="7">
        <f t="shared" si="12"/>
        <v>-0.18</v>
      </c>
      <c r="Q147" s="7">
        <f t="shared" si="13"/>
        <v>0.44</v>
      </c>
      <c r="R147" s="7">
        <f t="shared" si="14"/>
        <v>-0.04</v>
      </c>
      <c r="S147" s="7"/>
      <c r="T147" s="7"/>
      <c r="U147" s="7"/>
    </row>
    <row r="148" spans="1:21">
      <c r="A148" t="s">
        <v>393</v>
      </c>
      <c r="B148" t="s">
        <v>309</v>
      </c>
      <c r="C148" t="s">
        <v>394</v>
      </c>
      <c r="D148">
        <v>8</v>
      </c>
      <c r="E148">
        <v>36</v>
      </c>
      <c r="F148" t="s">
        <v>64</v>
      </c>
      <c r="G148" t="s">
        <v>292</v>
      </c>
      <c r="H148">
        <f>'DNA Loop Engine'!$B$5</f>
        <v>50</v>
      </c>
      <c r="I148" s="12" t="str">
        <f>IF(H148&lt;D148,"⏳ Pending",IF(H148&gt;=E148,"✅ Complete","🔄 Growing"))</f>
        <v>✅ Complete</v>
      </c>
      <c r="J148" s="11">
        <f>IF(H148&lt;D148,0,IF(H148&gt;=E148,1,(H148-D148)/(E148-D148)))</f>
        <v>1</v>
      </c>
      <c r="K148" s="11" t="s">
        <v>154</v>
      </c>
      <c r="L148" s="13">
        <v>-0.18</v>
      </c>
      <c r="M148" s="13">
        <v>0.42</v>
      </c>
      <c r="N148" s="13">
        <v>-0.04</v>
      </c>
      <c r="O148" t="s">
        <v>311</v>
      </c>
      <c r="P148" s="7">
        <f t="shared" si="12"/>
        <v>-0.18</v>
      </c>
      <c r="Q148" s="7">
        <f t="shared" si="13"/>
        <v>0.42</v>
      </c>
      <c r="R148" s="7">
        <f t="shared" si="14"/>
        <v>-0.04</v>
      </c>
      <c r="S148" s="7"/>
      <c r="T148" s="7"/>
      <c r="U148" s="7"/>
    </row>
    <row r="149" spans="1:21">
      <c r="A149" t="s">
        <v>395</v>
      </c>
      <c r="B149" t="s">
        <v>309</v>
      </c>
      <c r="C149" t="s">
        <v>396</v>
      </c>
      <c r="D149">
        <v>8</v>
      </c>
      <c r="E149">
        <v>36</v>
      </c>
      <c r="F149" t="s">
        <v>64</v>
      </c>
      <c r="G149" t="s">
        <v>292</v>
      </c>
      <c r="H149">
        <f>'DNA Loop Engine'!$B$5</f>
        <v>50</v>
      </c>
      <c r="I149" s="12" t="str">
        <f>IF(H149&lt;D149,"⏳ Pending",IF(H149&gt;=E149,"✅ Complete","🔄 Growing"))</f>
        <v>✅ Complete</v>
      </c>
      <c r="J149" s="11">
        <f>IF(H149&lt;D149,0,IF(H149&gt;=E149,1,(H149-D149)/(E149-D149)))</f>
        <v>1</v>
      </c>
      <c r="K149" s="11" t="s">
        <v>154</v>
      </c>
      <c r="L149" s="13">
        <v>-0.18</v>
      </c>
      <c r="M149" s="13">
        <v>0.4</v>
      </c>
      <c r="N149" s="13">
        <v>-0.04</v>
      </c>
      <c r="O149" t="s">
        <v>311</v>
      </c>
      <c r="P149" s="7">
        <f t="shared" si="12"/>
        <v>-0.18</v>
      </c>
      <c r="Q149" s="7">
        <f t="shared" si="13"/>
        <v>0.4</v>
      </c>
      <c r="R149" s="7">
        <f t="shared" si="14"/>
        <v>-0.04</v>
      </c>
      <c r="S149" s="7"/>
      <c r="T149" s="7"/>
      <c r="U149" s="7"/>
    </row>
    <row r="150" spans="1:21">
      <c r="A150" t="s">
        <v>397</v>
      </c>
      <c r="B150" t="s">
        <v>309</v>
      </c>
      <c r="C150" t="s">
        <v>398</v>
      </c>
      <c r="D150">
        <v>8</v>
      </c>
      <c r="E150">
        <v>36</v>
      </c>
      <c r="F150" t="s">
        <v>64</v>
      </c>
      <c r="G150" t="s">
        <v>292</v>
      </c>
      <c r="H150">
        <f>'DNA Loop Engine'!$B$5</f>
        <v>50</v>
      </c>
      <c r="I150" s="12" t="str">
        <f>IF(H150&lt;D150,"⏳ Pending",IF(H150&gt;=E150,"✅ Complete","🔄 Growing"))</f>
        <v>✅ Complete</v>
      </c>
      <c r="J150" s="11">
        <f>IF(H150&lt;D150,0,IF(H150&gt;=E150,1,(H150-D150)/(E150-D150)))</f>
        <v>1</v>
      </c>
      <c r="K150" s="11" t="s">
        <v>188</v>
      </c>
      <c r="L150" s="13">
        <v>-0.1</v>
      </c>
      <c r="M150" s="13">
        <v>-0.08</v>
      </c>
      <c r="N150" s="13">
        <v>0</v>
      </c>
      <c r="O150" t="s">
        <v>311</v>
      </c>
      <c r="P150" s="7">
        <f t="shared" si="12"/>
        <v>-0.1</v>
      </c>
      <c r="Q150" s="7">
        <f t="shared" si="13"/>
        <v>-0.08</v>
      </c>
      <c r="R150" s="7">
        <f t="shared" si="14"/>
        <v>0</v>
      </c>
      <c r="S150" s="7"/>
      <c r="T150" s="7"/>
      <c r="U150" s="7"/>
    </row>
    <row r="151" spans="1:21">
      <c r="A151" t="s">
        <v>399</v>
      </c>
      <c r="B151" t="s">
        <v>309</v>
      </c>
      <c r="C151" t="s">
        <v>400</v>
      </c>
      <c r="D151">
        <v>8</v>
      </c>
      <c r="E151">
        <v>36</v>
      </c>
      <c r="F151" t="s">
        <v>64</v>
      </c>
      <c r="G151" t="s">
        <v>292</v>
      </c>
      <c r="H151">
        <f>'DNA Loop Engine'!$B$5</f>
        <v>50</v>
      </c>
      <c r="I151" s="12" t="str">
        <f>IF(H151&lt;D151,"⏳ Pending",IF(H151&gt;=E151,"✅ Complete","🔄 Growing"))</f>
        <v>✅ Complete</v>
      </c>
      <c r="J151" s="11">
        <f>IF(H151&lt;D151,0,IF(H151&gt;=E151,1,(H151-D151)/(E151-D151)))</f>
        <v>1</v>
      </c>
      <c r="K151" s="11" t="s">
        <v>188</v>
      </c>
      <c r="L151" s="13">
        <v>-0.14000000000000001</v>
      </c>
      <c r="M151" s="13">
        <v>-0.1</v>
      </c>
      <c r="N151" s="13">
        <v>0</v>
      </c>
      <c r="O151" t="s">
        <v>311</v>
      </c>
      <c r="P151" s="7">
        <f t="shared" si="12"/>
        <v>-0.14000000000000001</v>
      </c>
      <c r="Q151" s="7">
        <f t="shared" si="13"/>
        <v>-0.1</v>
      </c>
      <c r="R151" s="7">
        <f t="shared" si="14"/>
        <v>0</v>
      </c>
      <c r="S151" s="7"/>
      <c r="T151" s="7"/>
      <c r="U151" s="7"/>
    </row>
    <row r="152" spans="1:21">
      <c r="A152" t="s">
        <v>401</v>
      </c>
      <c r="B152" t="s">
        <v>309</v>
      </c>
      <c r="C152" t="s">
        <v>402</v>
      </c>
      <c r="D152">
        <v>8</v>
      </c>
      <c r="E152">
        <v>36</v>
      </c>
      <c r="F152" t="s">
        <v>64</v>
      </c>
      <c r="G152" t="s">
        <v>292</v>
      </c>
      <c r="H152">
        <f>'DNA Loop Engine'!$B$5</f>
        <v>50</v>
      </c>
      <c r="I152" s="12" t="str">
        <f>IF(H152&lt;D152,"⏳ Pending",IF(H152&gt;=E152,"✅ Complete","🔄 Growing"))</f>
        <v>✅ Complete</v>
      </c>
      <c r="J152" s="11">
        <f>IF(H152&lt;D152,0,IF(H152&gt;=E152,1,(H152-D152)/(E152-D152)))</f>
        <v>1</v>
      </c>
      <c r="K152" s="11" t="s">
        <v>133</v>
      </c>
      <c r="L152" s="13">
        <v>-0.08</v>
      </c>
      <c r="M152" s="13">
        <v>-0.05</v>
      </c>
      <c r="N152" s="13">
        <v>0</v>
      </c>
      <c r="O152" t="s">
        <v>311</v>
      </c>
      <c r="P152" s="7">
        <f t="shared" si="12"/>
        <v>-0.08</v>
      </c>
      <c r="Q152" s="7">
        <f t="shared" si="13"/>
        <v>-0.05</v>
      </c>
      <c r="R152" s="7">
        <f t="shared" si="14"/>
        <v>0</v>
      </c>
      <c r="S152" s="7"/>
      <c r="T152" s="7"/>
      <c r="U152" s="7"/>
    </row>
    <row r="153" spans="1:21">
      <c r="A153" t="s">
        <v>403</v>
      </c>
      <c r="B153" t="s">
        <v>309</v>
      </c>
      <c r="C153" t="s">
        <v>404</v>
      </c>
      <c r="D153">
        <v>8</v>
      </c>
      <c r="E153">
        <v>36</v>
      </c>
      <c r="F153" t="s">
        <v>64</v>
      </c>
      <c r="G153" t="s">
        <v>292</v>
      </c>
      <c r="H153">
        <f>'DNA Loop Engine'!$B$5</f>
        <v>50</v>
      </c>
      <c r="I153" s="12" t="str">
        <f>IF(H153&lt;D153,"⏳ Pending",IF(H153&gt;=E153,"✅ Complete","🔄 Growing"))</f>
        <v>✅ Complete</v>
      </c>
      <c r="J153" s="11">
        <f>IF(H153&lt;D153,0,IF(H153&gt;=E153,1,(H153-D153)/(E153-D153)))</f>
        <v>1</v>
      </c>
      <c r="K153" s="11" t="s">
        <v>188</v>
      </c>
      <c r="L153" s="13">
        <v>-0.14000000000000001</v>
      </c>
      <c r="M153" s="13">
        <v>-0.12</v>
      </c>
      <c r="N153" s="13">
        <v>0</v>
      </c>
      <c r="O153" t="s">
        <v>311</v>
      </c>
      <c r="P153" s="7">
        <f t="shared" si="12"/>
        <v>-0.14000000000000001</v>
      </c>
      <c r="Q153" s="7">
        <f t="shared" si="13"/>
        <v>-0.12</v>
      </c>
      <c r="R153" s="7">
        <f t="shared" si="14"/>
        <v>0</v>
      </c>
      <c r="S153" s="7"/>
      <c r="T153" s="7"/>
      <c r="U153" s="7"/>
    </row>
    <row r="154" spans="1:21">
      <c r="A154" t="s">
        <v>405</v>
      </c>
      <c r="B154" t="s">
        <v>309</v>
      </c>
      <c r="C154" t="s">
        <v>406</v>
      </c>
      <c r="D154">
        <v>8</v>
      </c>
      <c r="E154">
        <v>36</v>
      </c>
      <c r="F154" t="s">
        <v>64</v>
      </c>
      <c r="G154" t="s">
        <v>292</v>
      </c>
      <c r="H154">
        <f>'DNA Loop Engine'!$B$5</f>
        <v>50</v>
      </c>
      <c r="I154" s="12" t="str">
        <f>IF(H154&lt;D154,"⏳ Pending",IF(H154&gt;=E154,"✅ Complete","🔄 Growing"))</f>
        <v>✅ Complete</v>
      </c>
      <c r="J154" s="11">
        <f>IF(H154&lt;D154,0,IF(H154&gt;=E154,1,(H154-D154)/(E154-D154)))</f>
        <v>1</v>
      </c>
      <c r="K154" s="11" t="s">
        <v>188</v>
      </c>
      <c r="L154" s="13">
        <v>-0.14000000000000001</v>
      </c>
      <c r="M154" s="13">
        <v>-0.14000000000000001</v>
      </c>
      <c r="N154" s="13">
        <v>0</v>
      </c>
      <c r="O154" t="s">
        <v>311</v>
      </c>
      <c r="P154" s="7">
        <f t="shared" si="12"/>
        <v>-0.14000000000000001</v>
      </c>
      <c r="Q154" s="7">
        <f t="shared" si="13"/>
        <v>-0.14000000000000001</v>
      </c>
      <c r="R154" s="7">
        <f t="shared" si="14"/>
        <v>0</v>
      </c>
      <c r="S154" s="7"/>
      <c r="T154" s="7"/>
      <c r="U154" s="7"/>
    </row>
    <row r="155" spans="1:21">
      <c r="A155" t="s">
        <v>407</v>
      </c>
      <c r="B155" t="s">
        <v>309</v>
      </c>
      <c r="C155" t="s">
        <v>408</v>
      </c>
      <c r="D155">
        <v>8</v>
      </c>
      <c r="E155">
        <v>36</v>
      </c>
      <c r="F155" t="s">
        <v>64</v>
      </c>
      <c r="G155" t="s">
        <v>292</v>
      </c>
      <c r="H155">
        <f>'DNA Loop Engine'!$B$5</f>
        <v>50</v>
      </c>
      <c r="I155" s="12" t="str">
        <f>IF(H155&lt;D155,"⏳ Pending",IF(H155&gt;=E155,"✅ Complete","🔄 Growing"))</f>
        <v>✅ Complete</v>
      </c>
      <c r="J155" s="11">
        <f>IF(H155&lt;D155,0,IF(H155&gt;=E155,1,(H155-D155)/(E155-D155)))</f>
        <v>1</v>
      </c>
      <c r="K155" s="11" t="s">
        <v>188</v>
      </c>
      <c r="L155" s="13">
        <v>-0.14000000000000001</v>
      </c>
      <c r="M155" s="13">
        <v>-0.16</v>
      </c>
      <c r="N155" s="13">
        <v>0</v>
      </c>
      <c r="O155" t="s">
        <v>311</v>
      </c>
      <c r="P155" s="7">
        <f t="shared" si="12"/>
        <v>-0.14000000000000001</v>
      </c>
      <c r="Q155" s="7">
        <f t="shared" si="13"/>
        <v>-0.16</v>
      </c>
      <c r="R155" s="7">
        <f t="shared" si="14"/>
        <v>0</v>
      </c>
      <c r="S155" s="7"/>
      <c r="T155" s="7"/>
      <c r="U155" s="7"/>
    </row>
    <row r="156" spans="1:21">
      <c r="A156" t="s">
        <v>409</v>
      </c>
      <c r="B156" t="s">
        <v>309</v>
      </c>
      <c r="C156" t="s">
        <v>410</v>
      </c>
      <c r="D156">
        <v>8</v>
      </c>
      <c r="E156">
        <v>36</v>
      </c>
      <c r="F156" t="s">
        <v>64</v>
      </c>
      <c r="G156" t="s">
        <v>292</v>
      </c>
      <c r="H156">
        <f>'DNA Loop Engine'!$B$5</f>
        <v>50</v>
      </c>
      <c r="I156" s="12" t="str">
        <f>IF(H156&lt;D156,"⏳ Pending",IF(H156&gt;=E156,"✅ Complete","🔄 Growing"))</f>
        <v>✅ Complete</v>
      </c>
      <c r="J156" s="11">
        <f>IF(H156&lt;D156,0,IF(H156&gt;=E156,1,(H156-D156)/(E156-D156)))</f>
        <v>1</v>
      </c>
      <c r="K156" s="11" t="s">
        <v>188</v>
      </c>
      <c r="L156" s="13">
        <v>-0.14000000000000001</v>
      </c>
      <c r="M156" s="13">
        <v>-0.18</v>
      </c>
      <c r="N156" s="13">
        <v>0</v>
      </c>
      <c r="O156" t="s">
        <v>311</v>
      </c>
      <c r="P156" s="7">
        <f t="shared" si="12"/>
        <v>-0.14000000000000001</v>
      </c>
      <c r="Q156" s="7">
        <f t="shared" si="13"/>
        <v>-0.18</v>
      </c>
      <c r="R156" s="7">
        <f t="shared" si="14"/>
        <v>0</v>
      </c>
      <c r="S156" s="7"/>
      <c r="T156" s="7"/>
      <c r="U156" s="7"/>
    </row>
    <row r="157" spans="1:21">
      <c r="A157" t="s">
        <v>411</v>
      </c>
      <c r="B157" t="s">
        <v>309</v>
      </c>
      <c r="C157" t="s">
        <v>412</v>
      </c>
      <c r="D157">
        <v>8</v>
      </c>
      <c r="E157">
        <v>36</v>
      </c>
      <c r="F157" t="s">
        <v>64</v>
      </c>
      <c r="G157" t="s">
        <v>292</v>
      </c>
      <c r="H157">
        <f>'DNA Loop Engine'!$B$5</f>
        <v>50</v>
      </c>
      <c r="I157" s="12" t="str">
        <f>IF(H157&lt;D157,"⏳ Pending",IF(H157&gt;=E157,"✅ Complete","🔄 Growing"))</f>
        <v>✅ Complete</v>
      </c>
      <c r="J157" s="11">
        <f>IF(H157&lt;D157,0,IF(H157&gt;=E157,1,(H157-D157)/(E157-D157)))</f>
        <v>1</v>
      </c>
      <c r="K157" s="11" t="s">
        <v>188</v>
      </c>
      <c r="L157" s="13">
        <v>-0.14000000000000001</v>
      </c>
      <c r="M157" s="13">
        <v>-0.2</v>
      </c>
      <c r="N157" s="13">
        <v>0</v>
      </c>
      <c r="O157" t="s">
        <v>311</v>
      </c>
      <c r="P157" s="7">
        <f t="shared" si="12"/>
        <v>-0.14000000000000001</v>
      </c>
      <c r="Q157" s="7">
        <f t="shared" si="13"/>
        <v>-0.2</v>
      </c>
      <c r="R157" s="7">
        <f t="shared" si="14"/>
        <v>0</v>
      </c>
      <c r="S157" s="7"/>
      <c r="T157" s="7"/>
      <c r="U157" s="7"/>
    </row>
    <row r="158" spans="1:21">
      <c r="A158" t="s">
        <v>413</v>
      </c>
      <c r="B158" t="s">
        <v>309</v>
      </c>
      <c r="C158" t="s">
        <v>414</v>
      </c>
      <c r="D158">
        <v>8</v>
      </c>
      <c r="E158">
        <v>36</v>
      </c>
      <c r="F158" t="s">
        <v>64</v>
      </c>
      <c r="G158" t="s">
        <v>292</v>
      </c>
      <c r="H158">
        <f>'DNA Loop Engine'!$B$5</f>
        <v>50</v>
      </c>
      <c r="I158" s="12" t="str">
        <f>IF(H158&lt;D158,"⏳ Pending",IF(H158&gt;=E158,"✅ Complete","🔄 Growing"))</f>
        <v>✅ Complete</v>
      </c>
      <c r="J158" s="11">
        <f>IF(H158&lt;D158,0,IF(H158&gt;=E158,1,(H158-D158)/(E158-D158)))</f>
        <v>1</v>
      </c>
      <c r="K158" s="11" t="s">
        <v>188</v>
      </c>
      <c r="L158" s="13">
        <v>-0.14000000000000001</v>
      </c>
      <c r="M158" s="13">
        <v>-0.22</v>
      </c>
      <c r="N158" s="13">
        <v>-0.02</v>
      </c>
      <c r="O158" t="s">
        <v>311</v>
      </c>
      <c r="P158" s="7">
        <f t="shared" si="12"/>
        <v>-0.14000000000000001</v>
      </c>
      <c r="Q158" s="7">
        <f t="shared" si="13"/>
        <v>-0.22</v>
      </c>
      <c r="R158" s="7">
        <f t="shared" si="14"/>
        <v>-0.02</v>
      </c>
      <c r="S158" s="7"/>
      <c r="T158" s="7"/>
      <c r="U158" s="7"/>
    </row>
    <row r="159" spans="1:21">
      <c r="A159" t="s">
        <v>415</v>
      </c>
      <c r="B159" t="s">
        <v>309</v>
      </c>
      <c r="C159" t="s">
        <v>416</v>
      </c>
      <c r="D159">
        <v>8</v>
      </c>
      <c r="E159">
        <v>36</v>
      </c>
      <c r="F159" t="s">
        <v>64</v>
      </c>
      <c r="G159" t="s">
        <v>292</v>
      </c>
      <c r="H159">
        <f>'DNA Loop Engine'!$B$5</f>
        <v>50</v>
      </c>
      <c r="I159" s="12" t="str">
        <f>IF(H159&lt;D159,"⏳ Pending",IF(H159&gt;=E159,"✅ Complete","🔄 Growing"))</f>
        <v>✅ Complete</v>
      </c>
      <c r="J159" s="11">
        <f>IF(H159&lt;D159,0,IF(H159&gt;=E159,1,(H159-D159)/(E159-D159)))</f>
        <v>1</v>
      </c>
      <c r="K159" s="11" t="s">
        <v>188</v>
      </c>
      <c r="L159" s="13">
        <v>-0.14000000000000001</v>
      </c>
      <c r="M159" s="13">
        <v>-0.24</v>
      </c>
      <c r="N159" s="13">
        <v>-0.02</v>
      </c>
      <c r="O159" t="s">
        <v>311</v>
      </c>
      <c r="P159" s="7">
        <f t="shared" si="12"/>
        <v>-0.14000000000000001</v>
      </c>
      <c r="Q159" s="7">
        <f t="shared" si="13"/>
        <v>-0.24</v>
      </c>
      <c r="R159" s="7">
        <f t="shared" si="14"/>
        <v>-0.02</v>
      </c>
      <c r="S159" s="7"/>
      <c r="T159" s="7"/>
      <c r="U159" s="7"/>
    </row>
    <row r="160" spans="1:21">
      <c r="A160" t="s">
        <v>417</v>
      </c>
      <c r="B160" t="s">
        <v>418</v>
      </c>
      <c r="C160" t="s">
        <v>419</v>
      </c>
      <c r="D160">
        <v>8</v>
      </c>
      <c r="E160">
        <v>36</v>
      </c>
      <c r="F160" t="s">
        <v>64</v>
      </c>
      <c r="G160" t="s">
        <v>65</v>
      </c>
      <c r="H160" s="12">
        <f>'DNA Loop Engine'!$B$5</f>
        <v>50</v>
      </c>
      <c r="I160" s="12" t="str">
        <f>IF(H160&lt;D160,"⏳ Pending",IF(H160&gt;=E160,"✅ Complete","🔄 Growing"))</f>
        <v>✅ Complete</v>
      </c>
      <c r="J160" s="11">
        <f>IF(H160&lt;D160,0,IF(H160&gt;=E160,1,MIN(1,(H160-D160)/(E160-D160))))</f>
        <v>1</v>
      </c>
      <c r="K160" s="11" t="s">
        <v>192</v>
      </c>
      <c r="L160" s="13">
        <v>-0.15</v>
      </c>
      <c r="M160" s="13">
        <v>-0.8</v>
      </c>
      <c r="N160" s="13">
        <v>0</v>
      </c>
      <c r="O160" t="s">
        <v>311</v>
      </c>
      <c r="P160" s="7">
        <f>L160*J160</f>
        <v>-0.15</v>
      </c>
      <c r="Q160" s="7">
        <f>M160*J160</f>
        <v>-0.8</v>
      </c>
      <c r="R160" s="7">
        <f>N160*J160</f>
        <v>0</v>
      </c>
      <c r="S160" s="7" t="str">
        <f t="shared" ref="S130:S161" si="15">"("&amp;TEXT(P160,"0.00")&amp;", "&amp;TEXT(Q160,"0.00")&amp;", "&amp;TEXT(R160,"0.00")&amp;")"</f>
        <v>(-0.15, -0.80, 0.00)</v>
      </c>
      <c r="T160" s="7">
        <f>SQRT(P160^2+Q160^2+R160^2)*(1+'DNA Loop Engine'!B18)</f>
        <v>1.6278820596099708</v>
      </c>
      <c r="U160" s="7" t="str">
        <f t="shared" ref="U130:U161" si="16">IF(T160&lt;0.5,"🟢 Relaxed",IF(T160&lt;1,"🟡 Normal",IF(T160&lt;1.5,"🟠 Taut","🔴 Stressed")))</f>
        <v>🔴 Stressed</v>
      </c>
    </row>
    <row r="161" spans="1:21">
      <c r="A161" t="s">
        <v>420</v>
      </c>
      <c r="B161" t="s">
        <v>418</v>
      </c>
      <c r="C161" t="s">
        <v>421</v>
      </c>
      <c r="D161">
        <v>8</v>
      </c>
      <c r="E161">
        <v>36</v>
      </c>
      <c r="F161" t="s">
        <v>64</v>
      </c>
      <c r="G161" t="s">
        <v>65</v>
      </c>
      <c r="H161" s="12">
        <f>'DNA Loop Engine'!$B$5</f>
        <v>50</v>
      </c>
      <c r="I161" s="12" t="str">
        <f>IF(H161&lt;D161,"⏳ Pending",IF(H161&gt;=E161,"✅ Complete","🔄 Growing"))</f>
        <v>✅ Complete</v>
      </c>
      <c r="J161" s="11">
        <f>IF(H161&lt;D161,0,IF(H161&gt;=E161,1,MIN(1,(H161-D161)/(E161-D161))))</f>
        <v>1</v>
      </c>
      <c r="K161" s="11" t="s">
        <v>201</v>
      </c>
      <c r="L161" s="13">
        <v>-0.15</v>
      </c>
      <c r="M161" s="13">
        <v>-1.1000000000000001</v>
      </c>
      <c r="N161" s="13">
        <v>0</v>
      </c>
      <c r="O161" t="s">
        <v>311</v>
      </c>
      <c r="P161" s="7">
        <f>L161*J161</f>
        <v>-0.15</v>
      </c>
      <c r="Q161" s="7">
        <f>M161*J161</f>
        <v>-1.1000000000000001</v>
      </c>
      <c r="R161" s="7">
        <f>N161*J161</f>
        <v>0</v>
      </c>
      <c r="S161" s="7" t="str">
        <f>"("&amp;TEXT(P161,"0.00")&amp;", "&amp;TEXT(Q161,"0.00")&amp;", "&amp;TEXT(R161,"0.00")&amp;")"</f>
        <v>(-0.15, -1.10, 0.00)</v>
      </c>
      <c r="T161" s="7">
        <f>SQRT(P161^2+Q161^2+R161^2)*(1+'DNA Loop Engine'!B18)</f>
        <v>2.220360331117452</v>
      </c>
      <c r="U161" s="7" t="str">
        <f>IF(T161&lt;0.5,"🟢 Relaxed",IF(T161&lt;1,"🟡 Normal",IF(T161&lt;1.5,"🟠 Taut","🔴 Stressed")))</f>
        <v>🔴 Stressed</v>
      </c>
    </row>
    <row r="162" spans="1:21">
      <c r="A162" t="s">
        <v>422</v>
      </c>
      <c r="B162" t="s">
        <v>418</v>
      </c>
      <c r="C162" t="s">
        <v>423</v>
      </c>
      <c r="D162">
        <v>8</v>
      </c>
      <c r="E162">
        <v>36</v>
      </c>
      <c r="F162" t="s">
        <v>64</v>
      </c>
      <c r="G162" t="s">
        <v>65</v>
      </c>
      <c r="H162" s="12">
        <f>'DNA Loop Engine'!$B$5</f>
        <v>50</v>
      </c>
      <c r="I162" s="12" t="str">
        <f>IF(H162&lt;D162,"⏳ Pending",IF(H162&gt;=E162,"✅ Complete","🔄 Growing"))</f>
        <v>✅ Complete</v>
      </c>
      <c r="J162" s="11">
        <f>IF(H162&lt;D162,0,IF(H162&gt;=E162,1,MIN(1,(H162-D162)/(E162-D162))))</f>
        <v>1</v>
      </c>
      <c r="K162" s="11" t="s">
        <v>154</v>
      </c>
      <c r="L162" s="13">
        <v>-0.25</v>
      </c>
      <c r="M162" s="13">
        <v>0.4</v>
      </c>
      <c r="N162" s="13">
        <v>0</v>
      </c>
      <c r="O162" t="s">
        <v>311</v>
      </c>
      <c r="P162" s="7">
        <f>L162*J162</f>
        <v>-0.25</v>
      </c>
      <c r="Q162" s="7">
        <f>M162*J162</f>
        <v>0.4</v>
      </c>
      <c r="R162" s="7">
        <f>N162*J162</f>
        <v>0</v>
      </c>
      <c r="S162" s="7" t="str">
        <f>"("&amp;TEXT(P162,"0.00")&amp;", "&amp;TEXT(Q162,"0.00")&amp;", "&amp;TEXT(R162,"0.00")&amp;")"</f>
        <v>(-0.25, 0.40, 0.00)</v>
      </c>
      <c r="T162" s="7">
        <f>SQRT(P162^2+Q162^2+R162^2)*(1+'DNA Loop Engine'!B18)</f>
        <v>0.94339811320566047</v>
      </c>
      <c r="U162" s="7" t="str">
        <f>IF(T162&lt;0.5,"🟢 Relaxed",IF(T162&lt;1,"🟡 Normal",IF(T162&lt;1.5,"🟠 Taut","🔴 Stressed")))</f>
        <v>🟡 Normal</v>
      </c>
    </row>
    <row r="163" spans="1:21">
      <c r="A163" t="s">
        <v>424</v>
      </c>
      <c r="B163" t="s">
        <v>418</v>
      </c>
      <c r="C163" t="s">
        <v>425</v>
      </c>
      <c r="D163">
        <v>8</v>
      </c>
      <c r="E163">
        <v>36</v>
      </c>
      <c r="F163" t="s">
        <v>64</v>
      </c>
      <c r="G163" t="s">
        <v>65</v>
      </c>
      <c r="H163" s="12">
        <f>'DNA Loop Engine'!$B$5</f>
        <v>50</v>
      </c>
      <c r="I163" s="12" t="str">
        <f>IF(H163&lt;D163,"⏳ Pending",IF(H163&gt;=E163,"✅ Complete","🔄 Growing"))</f>
        <v>✅ Complete</v>
      </c>
      <c r="J163" s="11">
        <f>IF(H163&lt;D163,0,IF(H163&gt;=E163,1,MIN(1,(H163-D163)/(E163-D163))))</f>
        <v>1</v>
      </c>
      <c r="K163" s="11" t="s">
        <v>159</v>
      </c>
      <c r="L163" s="13">
        <v>-0.25</v>
      </c>
      <c r="M163" s="13">
        <v>0.7</v>
      </c>
      <c r="N163" s="13">
        <v>0</v>
      </c>
      <c r="O163" t="s">
        <v>311</v>
      </c>
      <c r="P163" s="7">
        <f>L163*J163</f>
        <v>-0.25</v>
      </c>
      <c r="Q163" s="7">
        <f>M163*J163</f>
        <v>0.7</v>
      </c>
      <c r="R163" s="7">
        <f>N163*J163</f>
        <v>0</v>
      </c>
      <c r="S163" s="7" t="str">
        <f>"("&amp;TEXT(P163,"0.00")&amp;", "&amp;TEXT(Q163,"0.00")&amp;", "&amp;TEXT(R163,"0.00")&amp;")"</f>
        <v>(-0.25, 0.70, 0.00)</v>
      </c>
      <c r="T163" s="7">
        <f>SQRT(P163^2+Q163^2+R163^2)*(1+'DNA Loop Engine'!B18)</f>
        <v>1.4866068747318506</v>
      </c>
      <c r="U163" s="7" t="str">
        <f>IF(T163&lt;0.5,"🟢 Relaxed",IF(T163&lt;1,"🟡 Normal",IF(T163&lt;1.5,"🟠 Taut","🔴 Stressed")))</f>
        <v>🟠 Taut</v>
      </c>
    </row>
    <row r="164" spans="1:21">
      <c r="A164" t="s">
        <v>426</v>
      </c>
      <c r="B164" t="s">
        <v>418</v>
      </c>
      <c r="C164" t="s">
        <v>427</v>
      </c>
      <c r="D164">
        <v>8</v>
      </c>
      <c r="E164">
        <v>36</v>
      </c>
      <c r="F164" t="s">
        <v>64</v>
      </c>
      <c r="G164" t="s">
        <v>65</v>
      </c>
      <c r="H164" s="12">
        <f>'DNA Loop Engine'!$B$5</f>
        <v>50</v>
      </c>
      <c r="I164" s="12" t="str">
        <f>IF(H164&lt;D164,"⏳ Pending",IF(H164&gt;=E164,"✅ Complete","🔄 Growing"))</f>
        <v>✅ Complete</v>
      </c>
      <c r="J164" s="11">
        <f>IF(H164&lt;D164,0,IF(H164&gt;=E164,1,MIN(1,(H164-D164)/(E164-D164))))</f>
        <v>1</v>
      </c>
      <c r="K164" s="11" t="s">
        <v>154</v>
      </c>
      <c r="L164" s="13">
        <v>-0.25</v>
      </c>
      <c r="M164" s="13">
        <v>0.4</v>
      </c>
      <c r="N164" s="13">
        <v>0</v>
      </c>
      <c r="O164" t="s">
        <v>311</v>
      </c>
      <c r="P164" s="7">
        <f>L164*J164</f>
        <v>-0.25</v>
      </c>
      <c r="Q164" s="7">
        <f>M164*J164</f>
        <v>0.4</v>
      </c>
      <c r="R164" s="7">
        <f>N164*J164</f>
        <v>0</v>
      </c>
      <c r="S164" s="7" t="str">
        <f>"("&amp;TEXT(P164,"0.00")&amp;", "&amp;TEXT(Q164,"0.00")&amp;", "&amp;TEXT(R164,"0.00")&amp;")"</f>
        <v>(-0.25, 0.40, 0.00)</v>
      </c>
      <c r="T164" s="7">
        <f>SQRT(P164^2+Q164^2+R164^2)*(1+'DNA Loop Engine'!B18)</f>
        <v>0.94339811320566047</v>
      </c>
      <c r="U164" s="7" t="str">
        <f>IF(T164&lt;0.5,"🟢 Relaxed",IF(T164&lt;1,"🟡 Normal",IF(T164&lt;1.5,"🟠 Taut","🔴 Stressed")))</f>
        <v>🟡 Normal</v>
      </c>
    </row>
    <row r="165" spans="1:21">
      <c r="A165" t="s">
        <v>428</v>
      </c>
      <c r="B165" t="s">
        <v>418</v>
      </c>
      <c r="C165" t="s">
        <v>429</v>
      </c>
      <c r="D165">
        <v>8</v>
      </c>
      <c r="E165">
        <v>36</v>
      </c>
      <c r="F165" t="s">
        <v>64</v>
      </c>
      <c r="G165" t="s">
        <v>65</v>
      </c>
      <c r="H165" s="12">
        <f>'DNA Loop Engine'!$B$5</f>
        <v>50</v>
      </c>
      <c r="I165" s="12" t="str">
        <f>IF(H165&lt;D165,"⏳ Pending",IF(H165&gt;=E165,"✅ Complete","🔄 Growing"))</f>
        <v>✅ Complete</v>
      </c>
      <c r="J165" s="11">
        <f>IF(H165&lt;D165,0,IF(H165&gt;=E165,1,MIN(1,(H165-D165)/(E165-D165))))</f>
        <v>1</v>
      </c>
      <c r="K165" s="11" t="s">
        <v>192</v>
      </c>
      <c r="L165" s="13">
        <v>-0.15</v>
      </c>
      <c r="M165" s="13">
        <v>-0.8</v>
      </c>
      <c r="N165" s="13">
        <v>0</v>
      </c>
      <c r="O165" t="s">
        <v>229</v>
      </c>
      <c r="P165" s="7">
        <f>L165*J165</f>
        <v>-0.15</v>
      </c>
      <c r="Q165" s="7">
        <f>M165*J165</f>
        <v>-0.8</v>
      </c>
      <c r="R165" s="7">
        <f>N165*J165</f>
        <v>0</v>
      </c>
      <c r="S165" s="7" t="str">
        <f>"("&amp;TEXT(P165,"0.00")&amp;", "&amp;TEXT(Q165,"0.00")&amp;", "&amp;TEXT(R165,"0.00")&amp;")"</f>
        <v>(-0.15, -0.80, 0.00)</v>
      </c>
      <c r="T165" s="7">
        <f>SQRT(P165^2+Q165^2+R165^2)*(1+'DNA Loop Engine'!B18)</f>
        <v>1.6278820596099708</v>
      </c>
      <c r="U165" s="7" t="str">
        <f>IF(T165&lt;0.5,"🟢 Relaxed",IF(T165&lt;1,"🟡 Normal",IF(T165&lt;1.5,"🟠 Taut","🔴 Stressed")))</f>
        <v>🔴 Stressed</v>
      </c>
    </row>
    <row r="166" spans="1:21">
      <c r="A166" t="s">
        <v>430</v>
      </c>
      <c r="B166" t="s">
        <v>418</v>
      </c>
      <c r="C166" t="s">
        <v>431</v>
      </c>
      <c r="D166">
        <v>8</v>
      </c>
      <c r="E166">
        <v>36</v>
      </c>
      <c r="F166" t="s">
        <v>64</v>
      </c>
      <c r="G166" t="s">
        <v>65</v>
      </c>
      <c r="H166" s="12">
        <f>'DNA Loop Engine'!$B$5</f>
        <v>50</v>
      </c>
      <c r="I166" s="12" t="str">
        <f>IF(H166&lt;D166,"⏳ Pending",IF(H166&gt;=E166,"✅ Complete","🔄 Growing"))</f>
        <v>✅ Complete</v>
      </c>
      <c r="J166" s="11">
        <f>IF(H166&lt;D166,0,IF(H166&gt;=E166,1,MIN(1,(H166-D166)/(E166-D166))))</f>
        <v>1</v>
      </c>
      <c r="K166" s="11" t="s">
        <v>192</v>
      </c>
      <c r="L166" s="13">
        <v>-0.15</v>
      </c>
      <c r="M166" s="13">
        <v>-0.8</v>
      </c>
      <c r="N166" s="13">
        <v>0</v>
      </c>
      <c r="O166" t="s">
        <v>229</v>
      </c>
      <c r="P166" s="7">
        <f>L166*J166</f>
        <v>-0.15</v>
      </c>
      <c r="Q166" s="7">
        <f>M166*J166</f>
        <v>-0.8</v>
      </c>
      <c r="R166" s="7">
        <f>N166*J166</f>
        <v>0</v>
      </c>
      <c r="S166" s="7" t="str">
        <f>"("&amp;TEXT(P166,"0.00")&amp;", "&amp;TEXT(Q166,"0.00")&amp;", "&amp;TEXT(R166,"0.00")&amp;")"</f>
        <v>(-0.15, -0.80, 0.00)</v>
      </c>
      <c r="T166" s="7">
        <f>SQRT(P166^2+Q166^2+R166^2)*(1+'DNA Loop Engine'!B18)</f>
        <v>1.6278820596099708</v>
      </c>
      <c r="U166" s="7" t="str">
        <f>IF(T166&lt;0.5,"🟢 Relaxed",IF(T166&lt;1,"🟡 Normal",IF(T166&lt;1.5,"🟠 Taut","🔴 Stressed")))</f>
        <v>🔴 Stressed</v>
      </c>
    </row>
    <row r="167" spans="1:21">
      <c r="A167" t="s">
        <v>432</v>
      </c>
      <c r="B167" t="s">
        <v>418</v>
      </c>
      <c r="C167" t="s">
        <v>433</v>
      </c>
      <c r="D167">
        <v>8</v>
      </c>
      <c r="E167">
        <v>36</v>
      </c>
      <c r="F167" t="s">
        <v>64</v>
      </c>
      <c r="G167" t="s">
        <v>65</v>
      </c>
      <c r="H167" s="12">
        <f>'DNA Loop Engine'!$B$5</f>
        <v>50</v>
      </c>
      <c r="I167" s="12" t="str">
        <f>IF(H167&lt;D167,"⏳ Pending",IF(H167&gt;=E167,"✅ Complete","🔄 Growing"))</f>
        <v>✅ Complete</v>
      </c>
      <c r="J167" s="11">
        <f>IF(H167&lt;D167,0,IF(H167&gt;=E167,1,MIN(1,(H167-D167)/(E167-D167))))</f>
        <v>1</v>
      </c>
      <c r="K167" s="11" t="s">
        <v>192</v>
      </c>
      <c r="L167" s="13">
        <v>-0.12</v>
      </c>
      <c r="M167" s="13">
        <v>-0.8</v>
      </c>
      <c r="N167" s="13">
        <v>0</v>
      </c>
      <c r="O167" t="s">
        <v>229</v>
      </c>
      <c r="P167" s="7">
        <f>L167*J167</f>
        <v>-0.12</v>
      </c>
      <c r="Q167" s="7">
        <f>M167*J167</f>
        <v>-0.8</v>
      </c>
      <c r="R167" s="7">
        <f>N167*J167</f>
        <v>0</v>
      </c>
      <c r="S167" s="7" t="str">
        <f>"("&amp;TEXT(P167,"0.00")&amp;", "&amp;TEXT(Q167,"0.00")&amp;", "&amp;TEXT(R167,"0.00")&amp;")"</f>
        <v>(-0.12, -0.80, 0.00)</v>
      </c>
      <c r="T167" s="7">
        <f>SQRT(P167^2+Q167^2+R167^2)*(1+'DNA Loop Engine'!B18)</f>
        <v>1.6178998732925349</v>
      </c>
      <c r="U167" s="7" t="str">
        <f>IF(T167&lt;0.5,"🟢 Relaxed",IF(T167&lt;1,"🟡 Normal",IF(T167&lt;1.5,"🟠 Taut","🔴 Stressed")))</f>
        <v>🔴 Stressed</v>
      </c>
    </row>
    <row r="168" spans="1:21">
      <c r="A168" t="s">
        <v>434</v>
      </c>
      <c r="B168" t="s">
        <v>418</v>
      </c>
      <c r="C168" t="s">
        <v>435</v>
      </c>
      <c r="D168">
        <v>8</v>
      </c>
      <c r="E168">
        <v>36</v>
      </c>
      <c r="F168" t="s">
        <v>64</v>
      </c>
      <c r="G168" t="s">
        <v>65</v>
      </c>
      <c r="H168" s="12">
        <f>'DNA Loop Engine'!$B$5</f>
        <v>50</v>
      </c>
      <c r="I168" s="12" t="str">
        <f>IF(H168&lt;D168,"⏳ Pending",IF(H168&gt;=E168,"✅ Complete","🔄 Growing"))</f>
        <v>✅ Complete</v>
      </c>
      <c r="J168" s="11">
        <f>IF(H168&lt;D168,0,IF(H168&gt;=E168,1,MIN(1,(H168-D168)/(E168-D168))))</f>
        <v>1</v>
      </c>
      <c r="K168" s="11" t="s">
        <v>192</v>
      </c>
      <c r="L168" s="13">
        <v>-0.18</v>
      </c>
      <c r="M168" s="13">
        <v>-0.8</v>
      </c>
      <c r="N168" s="13">
        <v>0</v>
      </c>
      <c r="O168" t="s">
        <v>229</v>
      </c>
      <c r="P168" s="7">
        <f>L168*J168</f>
        <v>-0.18</v>
      </c>
      <c r="Q168" s="7">
        <f>M168*J168</f>
        <v>-0.8</v>
      </c>
      <c r="R168" s="7">
        <f>N168*J168</f>
        <v>0</v>
      </c>
      <c r="S168" s="7" t="str">
        <f>"("&amp;TEXT(P168,"0.00")&amp;", "&amp;TEXT(Q168,"0.00")&amp;", "&amp;TEXT(R168,"0.00")&amp;")"</f>
        <v>(-0.18, -0.80, 0.00)</v>
      </c>
      <c r="T168" s="7">
        <f>SQRT(P168^2+Q168^2+R168^2)*(1+'DNA Loop Engine'!B18)</f>
        <v>1.6400000000000001</v>
      </c>
      <c r="U168" s="7" t="str">
        <f>IF(T168&lt;0.5,"🟢 Relaxed",IF(T168&lt;1,"🟡 Normal",IF(T168&lt;1.5,"🟠 Taut","🔴 Stressed")))</f>
        <v>🔴 Stressed</v>
      </c>
    </row>
    <row r="169" spans="1:21">
      <c r="A169" t="s">
        <v>436</v>
      </c>
      <c r="B169" t="s">
        <v>418</v>
      </c>
      <c r="C169" t="s">
        <v>437</v>
      </c>
      <c r="D169">
        <v>8</v>
      </c>
      <c r="E169">
        <v>36</v>
      </c>
      <c r="F169" t="s">
        <v>64</v>
      </c>
      <c r="G169" t="s">
        <v>65</v>
      </c>
      <c r="H169" s="12">
        <f>'DNA Loop Engine'!$B$5</f>
        <v>50</v>
      </c>
      <c r="I169" s="12" t="str">
        <f>IF(H169&lt;D169,"⏳ Pending",IF(H169&gt;=E169,"✅ Complete","🔄 Growing"))</f>
        <v>✅ Complete</v>
      </c>
      <c r="J169" s="11">
        <f>IF(H169&lt;D169,0,IF(H169&gt;=E169,1,MIN(1,(H169-D169)/(E169-D169))))</f>
        <v>1</v>
      </c>
      <c r="K169" s="11" t="s">
        <v>130</v>
      </c>
      <c r="L169" s="13">
        <v>0</v>
      </c>
      <c r="M169" s="13">
        <v>0.4</v>
      </c>
      <c r="N169" s="13">
        <v>-0.06</v>
      </c>
      <c r="O169" t="s">
        <v>229</v>
      </c>
      <c r="P169" s="7">
        <f>L169*J169</f>
        <v>0</v>
      </c>
      <c r="Q169" s="7">
        <f>M169*J169</f>
        <v>0.4</v>
      </c>
      <c r="R169" s="7">
        <f>N169*J169</f>
        <v>-0.06</v>
      </c>
      <c r="S169" s="7" t="str">
        <f>"("&amp;TEXT(P169,"0.00")&amp;", "&amp;TEXT(Q169,"0.00")&amp;", "&amp;TEXT(R169,"0.00")&amp;")"</f>
        <v>(0.00, 0.40, -0.06)</v>
      </c>
      <c r="T169" s="7">
        <f>SQRT(P169^2+Q169^2+R169^2)*(1+'DNA Loop Engine'!B18)</f>
        <v>0.80894993664626746</v>
      </c>
      <c r="U169" s="7" t="str">
        <f>IF(T169&lt;0.5,"🟢 Relaxed",IF(T169&lt;1,"🟡 Normal",IF(T169&lt;1.5,"🟠 Taut","🔴 Stressed")))</f>
        <v>🟡 Normal</v>
      </c>
    </row>
    <row r="170" spans="1:21">
      <c r="A170" t="s">
        <v>438</v>
      </c>
      <c r="B170" t="s">
        <v>418</v>
      </c>
      <c r="C170" t="s">
        <v>439</v>
      </c>
      <c r="D170">
        <v>8</v>
      </c>
      <c r="E170">
        <v>36</v>
      </c>
      <c r="F170" t="s">
        <v>64</v>
      </c>
      <c r="G170" t="s">
        <v>65</v>
      </c>
      <c r="H170" s="12">
        <f>'DNA Loop Engine'!$B$5</f>
        <v>50</v>
      </c>
      <c r="I170" s="12" t="str">
        <f>IF(H170&lt;D170,"⏳ Pending",IF(H170&gt;=E170,"✅ Complete","🔄 Growing"))</f>
        <v>✅ Complete</v>
      </c>
      <c r="J170" s="11">
        <f>IF(H170&lt;D170,0,IF(H170&gt;=E170,1,MIN(1,(H170-D170)/(E170-D170))))</f>
        <v>1</v>
      </c>
      <c r="K170" s="11" t="s">
        <v>154</v>
      </c>
      <c r="L170" s="13">
        <v>-0.25</v>
      </c>
      <c r="M170" s="13">
        <v>0.4</v>
      </c>
      <c r="N170" s="13">
        <v>0</v>
      </c>
      <c r="O170" t="s">
        <v>229</v>
      </c>
      <c r="P170" s="7">
        <f>L170*J170</f>
        <v>-0.25</v>
      </c>
      <c r="Q170" s="7">
        <f>M170*J170</f>
        <v>0.4</v>
      </c>
      <c r="R170" s="7">
        <f>N170*J170</f>
        <v>0</v>
      </c>
      <c r="S170" s="7" t="str">
        <f>"("&amp;TEXT(P170,"0.00")&amp;", "&amp;TEXT(Q170,"0.00")&amp;", "&amp;TEXT(R170,"0.00")&amp;")"</f>
        <v>(-0.25, 0.40, 0.00)</v>
      </c>
      <c r="T170" s="7">
        <f>SQRT(P170^2+Q170^2+R170^2)*(1+'DNA Loop Engine'!B18)</f>
        <v>0.94339811320566047</v>
      </c>
      <c r="U170" s="7" t="str">
        <f>IF(T170&lt;0.5,"🟢 Relaxed",IF(T170&lt;1,"🟡 Normal",IF(T170&lt;1.5,"🟠 Taut","🔴 Stressed")))</f>
        <v>🟡 Normal</v>
      </c>
    </row>
    <row r="171" spans="1:21">
      <c r="A171" t="s">
        <v>440</v>
      </c>
      <c r="B171" t="s">
        <v>418</v>
      </c>
      <c r="C171" t="s">
        <v>441</v>
      </c>
      <c r="D171">
        <v>8</v>
      </c>
      <c r="E171">
        <v>36</v>
      </c>
      <c r="F171" t="s">
        <v>64</v>
      </c>
      <c r="G171" t="s">
        <v>65</v>
      </c>
      <c r="H171" s="12">
        <f>'DNA Loop Engine'!$B$5</f>
        <v>50</v>
      </c>
      <c r="I171" s="12" t="str">
        <f>IF(H171&lt;D171,"⏳ Pending",IF(H171&gt;=E171,"✅ Complete","🔄 Growing"))</f>
        <v>✅ Complete</v>
      </c>
      <c r="J171" s="11">
        <f>IF(H171&lt;D171,0,IF(H171&gt;=E171,1,MIN(1,(H171-D171)/(E171-D171))))</f>
        <v>1</v>
      </c>
      <c r="K171" s="11" t="s">
        <v>188</v>
      </c>
      <c r="L171" s="13">
        <v>-0.15</v>
      </c>
      <c r="M171" s="13">
        <v>-0.1</v>
      </c>
      <c r="N171" s="13">
        <v>0</v>
      </c>
      <c r="O171" t="s">
        <v>229</v>
      </c>
      <c r="P171" s="7">
        <f>L171*J171</f>
        <v>-0.15</v>
      </c>
      <c r="Q171" s="7">
        <f>M171*J171</f>
        <v>-0.1</v>
      </c>
      <c r="R171" s="7">
        <f>N171*J171</f>
        <v>0</v>
      </c>
      <c r="S171" s="7" t="str">
        <f>"("&amp;TEXT(P171,"0.00")&amp;", "&amp;TEXT(Q171,"0.00")&amp;", "&amp;TEXT(R171,"0.00")&amp;")"</f>
        <v>(-0.15, -0.10, 0.00)</v>
      </c>
      <c r="T171" s="7">
        <f>SQRT(P171^2+Q171^2+R171^2)*(1+'DNA Loop Engine'!B18)</f>
        <v>0.36055512754639896</v>
      </c>
      <c r="U171" s="7" t="str">
        <f>IF(T171&lt;0.5,"🟢 Relaxed",IF(T171&lt;1,"🟡 Normal",IF(T171&lt;1.5,"🟠 Taut","🔴 Stressed")))</f>
        <v>🟢 Relaxed</v>
      </c>
    </row>
    <row r="172" spans="1:21">
      <c r="A172" t="s">
        <v>442</v>
      </c>
      <c r="B172" t="s">
        <v>418</v>
      </c>
      <c r="C172" t="s">
        <v>443</v>
      </c>
      <c r="D172">
        <v>8</v>
      </c>
      <c r="E172">
        <v>36</v>
      </c>
      <c r="F172" t="s">
        <v>64</v>
      </c>
      <c r="G172" t="s">
        <v>65</v>
      </c>
      <c r="H172" s="12">
        <f>'DNA Loop Engine'!$B$5</f>
        <v>50</v>
      </c>
      <c r="I172" s="12" t="str">
        <f>IF(H172&lt;D172,"⏳ Pending",IF(H172&gt;=E172,"✅ Complete","🔄 Growing"))</f>
        <v>✅ Complete</v>
      </c>
      <c r="J172" s="11">
        <f>IF(H172&lt;D172,0,IF(H172&gt;=E172,1,MIN(1,(H172-D172)/(E172-D172))))</f>
        <v>1</v>
      </c>
      <c r="K172" s="11" t="s">
        <v>188</v>
      </c>
      <c r="L172" s="13">
        <v>-0.12</v>
      </c>
      <c r="M172" s="13">
        <v>-0.08</v>
      </c>
      <c r="N172" s="13">
        <v>0</v>
      </c>
      <c r="O172" t="s">
        <v>229</v>
      </c>
      <c r="P172" s="7">
        <f>L172*J172</f>
        <v>-0.12</v>
      </c>
      <c r="Q172" s="7">
        <f>M172*J172</f>
        <v>-0.08</v>
      </c>
      <c r="R172" s="7">
        <f>N172*J172</f>
        <v>0</v>
      </c>
      <c r="S172" s="7" t="str">
        <f>"("&amp;TEXT(P172,"0.00")&amp;", "&amp;TEXT(Q172,"0.00")&amp;", "&amp;TEXT(R172,"0.00")&amp;")"</f>
        <v>(-0.12, -0.08, 0.00)</v>
      </c>
      <c r="T172" s="7">
        <f>SQRT(P172^2+Q172^2+R172^2)*(1+'DNA Loop Engine'!B18)</f>
        <v>0.28844410203711912</v>
      </c>
      <c r="U172" s="7" t="str">
        <f>IF(T172&lt;0.5,"🟢 Relaxed",IF(T172&lt;1,"🟡 Normal",IF(T172&lt;1.5,"🟠 Taut","🔴 Stressed")))</f>
        <v>🟢 Relaxed</v>
      </c>
    </row>
    <row r="173" spans="1:21">
      <c r="A173" t="s">
        <v>444</v>
      </c>
      <c r="B173" t="s">
        <v>418</v>
      </c>
      <c r="C173" t="s">
        <v>445</v>
      </c>
      <c r="D173">
        <v>8</v>
      </c>
      <c r="E173">
        <v>36</v>
      </c>
      <c r="F173" t="s">
        <v>64</v>
      </c>
      <c r="G173" t="s">
        <v>65</v>
      </c>
      <c r="H173" s="12">
        <f>'DNA Loop Engine'!$B$5</f>
        <v>50</v>
      </c>
      <c r="I173" s="12" t="str">
        <f>IF(H173&lt;D173,"⏳ Pending",IF(H173&gt;=E173,"✅ Complete","🔄 Growing"))</f>
        <v>✅ Complete</v>
      </c>
      <c r="J173" s="11">
        <f>IF(H173&lt;D173,0,IF(H173&gt;=E173,1,MIN(1,(H173-D173)/(E173-D173))))</f>
        <v>1</v>
      </c>
      <c r="K173" s="11" t="s">
        <v>188</v>
      </c>
      <c r="L173" s="13">
        <v>-0.14000000000000001</v>
      </c>
      <c r="M173" s="13">
        <v>-0.12</v>
      </c>
      <c r="N173" s="13">
        <v>-0.02</v>
      </c>
      <c r="O173" t="s">
        <v>229</v>
      </c>
      <c r="P173" s="7">
        <f>L173*J173</f>
        <v>-0.14000000000000001</v>
      </c>
      <c r="Q173" s="7">
        <f>M173*J173</f>
        <v>-0.12</v>
      </c>
      <c r="R173" s="7">
        <f>N173*J173</f>
        <v>-0.02</v>
      </c>
      <c r="S173" s="7" t="str">
        <f>"("&amp;TEXT(P173,"0.00")&amp;", "&amp;TEXT(Q173,"0.00")&amp;", "&amp;TEXT(R173,"0.00")&amp;")"</f>
        <v>(-0.14, -0.12, -0.02)</v>
      </c>
      <c r="T173" s="7">
        <f>SQRT(P173^2+Q173^2+R173^2)*(1+'DNA Loop Engine'!B18)</f>
        <v>0.37094473981982817</v>
      </c>
      <c r="U173" s="7" t="str">
        <f>IF(T173&lt;0.5,"🟢 Relaxed",IF(T173&lt;1,"🟡 Normal",IF(T173&lt;1.5,"🟠 Taut","🔴 Stressed")))</f>
        <v>🟢 Relaxed</v>
      </c>
    </row>
    <row r="175" spans="1:21" ht="18.75">
      <c r="A175" s="316" t="s">
        <v>446</v>
      </c>
      <c r="B175" s="316"/>
      <c r="C175" s="316"/>
      <c r="D175" s="316"/>
      <c r="E175" s="316"/>
      <c r="F175" s="316"/>
      <c r="G175" s="316"/>
      <c r="H175" s="316"/>
      <c r="I175" s="316"/>
      <c r="J175" s="316"/>
      <c r="K175" s="316"/>
      <c r="L175" s="316"/>
    </row>
    <row r="176" spans="1:21">
      <c r="A176" s="23" t="s">
        <v>41</v>
      </c>
      <c r="B176" s="23" t="s">
        <v>447</v>
      </c>
      <c r="C176" s="23" t="s">
        <v>448</v>
      </c>
      <c r="D176" s="23" t="s">
        <v>449</v>
      </c>
      <c r="E176" s="23" t="s">
        <v>450</v>
      </c>
      <c r="F176" s="23" t="s">
        <v>451</v>
      </c>
      <c r="G176" s="23" t="s">
        <v>452</v>
      </c>
      <c r="H176" s="23" t="s">
        <v>453</v>
      </c>
      <c r="I176" s="23" t="s">
        <v>47</v>
      </c>
      <c r="J176" s="23" t="s">
        <v>48</v>
      </c>
      <c r="K176" s="23" t="s">
        <v>454</v>
      </c>
      <c r="L176" s="23" t="s">
        <v>455</v>
      </c>
    </row>
    <row r="177" spans="1:12">
      <c r="A177" s="24" t="s">
        <v>456</v>
      </c>
      <c r="B177" s="24" t="s">
        <v>457</v>
      </c>
      <c r="C177" s="24" t="s">
        <v>458</v>
      </c>
      <c r="D177" s="24" t="s">
        <v>459</v>
      </c>
      <c r="E177" s="24" t="s">
        <v>460</v>
      </c>
      <c r="F177" s="24" t="s">
        <v>461</v>
      </c>
      <c r="G177" s="24">
        <v>20</v>
      </c>
      <c r="H177" s="24">
        <v>36</v>
      </c>
      <c r="I177" s="24" t="s">
        <v>292</v>
      </c>
      <c r="J177" s="24">
        <f>'DNA Loop Engine'!$B$5</f>
        <v>50</v>
      </c>
      <c r="K177" s="24" t="str">
        <f>IF(J177&lt;G177,"⏳ Dormant",IF(J177&gt;=H177,"✅ Mature","🔄 Developing"))</f>
        <v>✅ Mature</v>
      </c>
      <c r="L177" s="25">
        <f>IF(J177&lt;G177,0%,IF(J177&gt;=H177,100%,(J177-G177)/(H177-G177)))</f>
        <v>1</v>
      </c>
    </row>
    <row r="178" spans="1:12">
      <c r="A178" s="24" t="s">
        <v>456</v>
      </c>
      <c r="B178" s="24" t="s">
        <v>462</v>
      </c>
      <c r="C178" s="24" t="s">
        <v>458</v>
      </c>
      <c r="D178" s="24" t="s">
        <v>459</v>
      </c>
      <c r="E178" s="24" t="s">
        <v>460</v>
      </c>
      <c r="F178" s="24" t="s">
        <v>461</v>
      </c>
      <c r="G178" s="24">
        <v>20</v>
      </c>
      <c r="H178" s="24">
        <v>36</v>
      </c>
      <c r="I178" s="24" t="s">
        <v>292</v>
      </c>
      <c r="J178" s="24">
        <f>'DNA Loop Engine'!$B$5</f>
        <v>50</v>
      </c>
      <c r="K178" s="24" t="str">
        <f>IF(J178&lt;G178,"⏳ Dormant",IF(J178&gt;=H178,"✅ Mature","🔄 Developing"))</f>
        <v>✅ Mature</v>
      </c>
      <c r="L178" s="25">
        <f>IF(J178&lt;G178,0%,IF(J178&gt;=H178,100%,(J178-G178)/(H178-G178)))</f>
        <v>1</v>
      </c>
    </row>
    <row r="179" spans="1:12">
      <c r="A179" s="24" t="s">
        <v>456</v>
      </c>
      <c r="B179" s="24" t="s">
        <v>463</v>
      </c>
      <c r="C179" s="24" t="s">
        <v>458</v>
      </c>
      <c r="D179" s="24" t="s">
        <v>459</v>
      </c>
      <c r="E179" s="24" t="s">
        <v>460</v>
      </c>
      <c r="F179" s="24" t="s">
        <v>461</v>
      </c>
      <c r="G179" s="24">
        <v>20</v>
      </c>
      <c r="H179" s="24">
        <v>36</v>
      </c>
      <c r="I179" s="24" t="s">
        <v>292</v>
      </c>
      <c r="J179" s="24">
        <f>'DNA Loop Engine'!$B$5</f>
        <v>50</v>
      </c>
      <c r="K179" s="24" t="str">
        <f>IF(J179&lt;G179,"⏳ Dormant",IF(J179&gt;=H179,"✅ Mature","🔄 Developing"))</f>
        <v>✅ Mature</v>
      </c>
      <c r="L179" s="25">
        <f>IF(J179&lt;G179,0%,IF(J179&gt;=H179,100%,(J179-G179)/(H179-G179)))</f>
        <v>1</v>
      </c>
    </row>
    <row r="180" spans="1:12">
      <c r="A180" s="24" t="s">
        <v>456</v>
      </c>
      <c r="B180" s="24" t="s">
        <v>464</v>
      </c>
      <c r="C180" s="24" t="s">
        <v>458</v>
      </c>
      <c r="D180" s="24" t="s">
        <v>459</v>
      </c>
      <c r="E180" s="24" t="s">
        <v>460</v>
      </c>
      <c r="F180" s="24" t="s">
        <v>461</v>
      </c>
      <c r="G180" s="24">
        <v>20</v>
      </c>
      <c r="H180" s="24">
        <v>36</v>
      </c>
      <c r="I180" s="24" t="s">
        <v>292</v>
      </c>
      <c r="J180" s="24">
        <f>'DNA Loop Engine'!$B$5</f>
        <v>50</v>
      </c>
      <c r="K180" s="24" t="str">
        <f>IF(J180&lt;G180,"⏳ Dormant",IF(J180&gt;=H180,"✅ Mature","🔄 Developing"))</f>
        <v>✅ Mature</v>
      </c>
      <c r="L180" s="25">
        <f>IF(J180&lt;G180,0%,IF(J180&gt;=H180,100%,(J180-G180)/(H180-G180)))</f>
        <v>1</v>
      </c>
    </row>
    <row r="181" spans="1:12">
      <c r="A181" s="26" t="s">
        <v>258</v>
      </c>
      <c r="B181" s="26" t="s">
        <v>465</v>
      </c>
      <c r="C181" s="26" t="s">
        <v>466</v>
      </c>
      <c r="D181" s="26" t="s">
        <v>467</v>
      </c>
      <c r="E181" s="26" t="s">
        <v>468</v>
      </c>
      <c r="F181" s="26" t="s">
        <v>469</v>
      </c>
      <c r="G181" s="26">
        <v>24</v>
      </c>
      <c r="H181" s="26">
        <v>36</v>
      </c>
      <c r="I181" s="26" t="s">
        <v>292</v>
      </c>
      <c r="J181" s="26">
        <f>'DNA Loop Engine'!$B$5</f>
        <v>50</v>
      </c>
      <c r="K181" s="26" t="str">
        <f>IF(J181&lt;G181,"⏳ Dormant",IF(J181&gt;=H181,"✅ Mature","🔄 Developing"))</f>
        <v>✅ Mature</v>
      </c>
      <c r="L181" s="27">
        <f>IF(J181&lt;G181,0%,IF(J181&gt;=H181,100%,(J181-G181)/(H181-G181)))</f>
        <v>1</v>
      </c>
    </row>
    <row r="182" spans="1:12">
      <c r="A182" s="26" t="s">
        <v>258</v>
      </c>
      <c r="B182" s="26" t="s">
        <v>470</v>
      </c>
      <c r="C182" s="26" t="s">
        <v>466</v>
      </c>
      <c r="D182" s="26" t="s">
        <v>471</v>
      </c>
      <c r="E182" s="26" t="s">
        <v>468</v>
      </c>
      <c r="F182" s="26" t="s">
        <v>472</v>
      </c>
      <c r="G182" s="26">
        <v>24</v>
      </c>
      <c r="H182" s="26">
        <v>36</v>
      </c>
      <c r="I182" s="26" t="s">
        <v>292</v>
      </c>
      <c r="J182" s="26">
        <f>'DNA Loop Engine'!$B$5</f>
        <v>50</v>
      </c>
      <c r="K182" s="26" t="str">
        <f>IF(J182&lt;G182,"⏳ Dormant",IF(J182&gt;=H182,"✅ Mature","🔄 Developing"))</f>
        <v>✅ Mature</v>
      </c>
      <c r="L182" s="27">
        <f>IF(J182&lt;G182,0%,IF(J182&gt;=H182,100%,(J182-G182)/(H182-G182)))</f>
        <v>1</v>
      </c>
    </row>
    <row r="183" spans="1:12">
      <c r="A183" s="28" t="s">
        <v>260</v>
      </c>
      <c r="B183" s="28" t="s">
        <v>473</v>
      </c>
      <c r="C183" s="28" t="s">
        <v>474</v>
      </c>
      <c r="D183" s="28" t="s">
        <v>475</v>
      </c>
      <c r="E183" s="28" t="s">
        <v>476</v>
      </c>
      <c r="F183" s="28" t="s">
        <v>477</v>
      </c>
      <c r="G183" s="28">
        <v>12</v>
      </c>
      <c r="H183" s="28">
        <v>28</v>
      </c>
      <c r="I183" s="28" t="s">
        <v>478</v>
      </c>
      <c r="J183" s="28">
        <f>'DNA Loop Engine'!$B$5</f>
        <v>50</v>
      </c>
      <c r="K183" s="28" t="str">
        <f>IF(J183&lt;G183,"⏳ Dormant",IF(J183&gt;=H183,"✅ Mature","🔄 Developing"))</f>
        <v>✅ Mature</v>
      </c>
      <c r="L183" s="29">
        <f>IF(J183&lt;G183,0%,IF(J183&gt;=H183,100%,(J183-G183)/(H183-G183)))</f>
        <v>1</v>
      </c>
    </row>
    <row r="184" spans="1:12">
      <c r="A184" s="28" t="s">
        <v>260</v>
      </c>
      <c r="B184" s="28" t="s">
        <v>479</v>
      </c>
      <c r="C184" s="28" t="s">
        <v>474</v>
      </c>
      <c r="D184" s="28" t="s">
        <v>475</v>
      </c>
      <c r="E184" s="28" t="s">
        <v>480</v>
      </c>
      <c r="F184" s="28" t="s">
        <v>481</v>
      </c>
      <c r="G184" s="28">
        <v>12</v>
      </c>
      <c r="H184" s="28">
        <v>28</v>
      </c>
      <c r="I184" s="28" t="s">
        <v>478</v>
      </c>
      <c r="J184" s="28">
        <f>'DNA Loop Engine'!$B$5</f>
        <v>50</v>
      </c>
      <c r="K184" s="28" t="str">
        <f>IF(J184&lt;G184,"⏳ Dormant",IF(J184&gt;=H184,"✅ Mature","🔄 Developing"))</f>
        <v>✅ Mature</v>
      </c>
      <c r="L184" s="29">
        <f>IF(J184&lt;G184,0%,IF(J184&gt;=H184,100%,(J184-G184)/(H184-G184)))</f>
        <v>1</v>
      </c>
    </row>
    <row r="185" spans="1:12">
      <c r="A185" s="30" t="s">
        <v>262</v>
      </c>
      <c r="B185" s="30" t="s">
        <v>482</v>
      </c>
      <c r="C185" s="30" t="s">
        <v>483</v>
      </c>
      <c r="D185" s="30" t="s">
        <v>475</v>
      </c>
      <c r="E185" s="30" t="s">
        <v>484</v>
      </c>
      <c r="F185" s="30" t="s">
        <v>461</v>
      </c>
      <c r="G185" s="30">
        <v>12</v>
      </c>
      <c r="H185" s="30">
        <v>20</v>
      </c>
      <c r="I185" s="30" t="s">
        <v>478</v>
      </c>
      <c r="J185" s="30">
        <f>'DNA Loop Engine'!$B$5</f>
        <v>50</v>
      </c>
      <c r="K185" s="30" t="str">
        <f>IF(J185&lt;G185,"⏳ Dormant",IF(J185&gt;=H185,"✅ Mature","🔄 Developing"))</f>
        <v>✅ Mature</v>
      </c>
      <c r="L185" s="31">
        <f>IF(J185&lt;G185,0%,IF(J185&gt;=H185,100%,(J185-G185)/(H185-G185)))</f>
        <v>1</v>
      </c>
    </row>
    <row r="186" spans="1:12">
      <c r="A186" s="30" t="s">
        <v>262</v>
      </c>
      <c r="B186" s="30" t="s">
        <v>463</v>
      </c>
      <c r="C186" s="30" t="s">
        <v>483</v>
      </c>
      <c r="D186" s="30" t="s">
        <v>475</v>
      </c>
      <c r="E186" s="30" t="s">
        <v>484</v>
      </c>
      <c r="F186" s="30" t="s">
        <v>461</v>
      </c>
      <c r="G186" s="30">
        <v>12</v>
      </c>
      <c r="H186" s="30">
        <v>20</v>
      </c>
      <c r="I186" s="30" t="s">
        <v>478</v>
      </c>
      <c r="J186" s="30">
        <f>'DNA Loop Engine'!$B$5</f>
        <v>50</v>
      </c>
      <c r="K186" s="30" t="str">
        <f>IF(J186&lt;G186,"⏳ Dormant",IF(J186&gt;=H186,"✅ Mature","🔄 Developing"))</f>
        <v>✅ Mature</v>
      </c>
      <c r="L186" s="31">
        <f>IF(J186&lt;G186,0%,IF(J186&gt;=H186,100%,(J186-G186)/(H186-G186)))</f>
        <v>1</v>
      </c>
    </row>
    <row r="187" spans="1:12">
      <c r="A187" s="30" t="s">
        <v>262</v>
      </c>
      <c r="B187" s="30" t="s">
        <v>457</v>
      </c>
      <c r="C187" s="30" t="s">
        <v>483</v>
      </c>
      <c r="D187" s="30" t="s">
        <v>475</v>
      </c>
      <c r="E187" s="30" t="s">
        <v>484</v>
      </c>
      <c r="F187" s="30" t="s">
        <v>461</v>
      </c>
      <c r="G187" s="30">
        <v>12</v>
      </c>
      <c r="H187" s="30">
        <v>20</v>
      </c>
      <c r="I187" s="30" t="s">
        <v>478</v>
      </c>
      <c r="J187" s="30">
        <f>'DNA Loop Engine'!$B$5</f>
        <v>50</v>
      </c>
      <c r="K187" s="30" t="str">
        <f>IF(J187&lt;G187,"⏳ Dormant",IF(J187&gt;=H187,"✅ Mature","🔄 Developing"))</f>
        <v>✅ Mature</v>
      </c>
      <c r="L187" s="31">
        <f>IF(J187&lt;G187,0%,IF(J187&gt;=H187,100%,(J187-G187)/(H187-G187)))</f>
        <v>1</v>
      </c>
    </row>
    <row r="188" spans="1:12">
      <c r="A188" s="30" t="s">
        <v>262</v>
      </c>
      <c r="B188" s="30" t="s">
        <v>465</v>
      </c>
      <c r="C188" s="30" t="s">
        <v>483</v>
      </c>
      <c r="D188" s="30" t="s">
        <v>475</v>
      </c>
      <c r="E188" s="30" t="s">
        <v>484</v>
      </c>
      <c r="F188" s="30" t="s">
        <v>469</v>
      </c>
      <c r="G188" s="30">
        <v>12</v>
      </c>
      <c r="H188" s="30">
        <v>20</v>
      </c>
      <c r="I188" s="30" t="s">
        <v>478</v>
      </c>
      <c r="J188" s="30">
        <f>'DNA Loop Engine'!$B$5</f>
        <v>50</v>
      </c>
      <c r="K188" s="30" t="str">
        <f>IF(J188&lt;G188,"⏳ Dormant",IF(J188&gt;=H188,"✅ Mature","🔄 Developing"))</f>
        <v>✅ Mature</v>
      </c>
      <c r="L188" s="31">
        <f>IF(J188&lt;G188,0%,IF(J188&gt;=H188,100%,(J188-G188)/(H188-G188)))</f>
        <v>1</v>
      </c>
    </row>
    <row r="189" spans="1:12">
      <c r="A189" s="32" t="s">
        <v>485</v>
      </c>
      <c r="B189" s="32" t="s">
        <v>486</v>
      </c>
      <c r="C189" s="32" t="s">
        <v>487</v>
      </c>
      <c r="D189" s="32" t="s">
        <v>459</v>
      </c>
      <c r="E189" s="32" t="s">
        <v>488</v>
      </c>
      <c r="F189" s="32" t="s">
        <v>489</v>
      </c>
      <c r="G189" s="32">
        <v>20</v>
      </c>
      <c r="H189" s="32">
        <v>36</v>
      </c>
      <c r="I189" s="32" t="s">
        <v>298</v>
      </c>
      <c r="J189" s="32">
        <f>'DNA Loop Engine'!$B$5</f>
        <v>50</v>
      </c>
      <c r="K189" s="32" t="str">
        <f>IF(J189&lt;G189,"⏳ Dormant",IF(J189&gt;=H189,"✅ Mature","🔄 Developing"))</f>
        <v>✅ Mature</v>
      </c>
      <c r="L189" s="33">
        <f>IF(J189&lt;G189,0%,IF(J189&gt;=H189,100%,(J189-G189)/(H189-G189)))</f>
        <v>1</v>
      </c>
    </row>
    <row r="190" spans="1:12">
      <c r="A190" s="32" t="s">
        <v>485</v>
      </c>
      <c r="B190" s="32" t="s">
        <v>490</v>
      </c>
      <c r="C190" s="32" t="s">
        <v>458</v>
      </c>
      <c r="D190" s="32" t="s">
        <v>459</v>
      </c>
      <c r="E190" s="32" t="s">
        <v>491</v>
      </c>
      <c r="F190" s="32" t="s">
        <v>492</v>
      </c>
      <c r="G190" s="32">
        <v>20</v>
      </c>
      <c r="H190" s="32">
        <v>36</v>
      </c>
      <c r="I190" s="32" t="s">
        <v>298</v>
      </c>
      <c r="J190" s="32">
        <f>'DNA Loop Engine'!$B$5</f>
        <v>50</v>
      </c>
      <c r="K190" s="32" t="str">
        <f>IF(J190&lt;G190,"⏳ Dormant",IF(J190&gt;=H190,"✅ Mature","🔄 Developing"))</f>
        <v>✅ Mature</v>
      </c>
      <c r="L190" s="33">
        <f>IF(J190&lt;G190,0%,IF(J190&gt;=H190,100%,(J190-G190)/(H190-G190)))</f>
        <v>1</v>
      </c>
    </row>
    <row r="191" spans="1:12">
      <c r="A191" s="26" t="s">
        <v>258</v>
      </c>
      <c r="B191" s="26" t="s">
        <v>493</v>
      </c>
      <c r="C191" s="26" t="s">
        <v>466</v>
      </c>
      <c r="D191" s="26" t="s">
        <v>467</v>
      </c>
      <c r="E191" s="26" t="s">
        <v>468</v>
      </c>
      <c r="F191" s="26" t="s">
        <v>472</v>
      </c>
      <c r="G191" s="26">
        <v>24</v>
      </c>
      <c r="H191" s="26">
        <v>36</v>
      </c>
      <c r="I191" s="26" t="s">
        <v>292</v>
      </c>
      <c r="J191" s="26">
        <f>'DNA Loop Engine'!$B$5</f>
        <v>50</v>
      </c>
      <c r="K191" s="26" t="str">
        <f>IF(J191&lt;G191,"⏳ Dormant",IF(J191&gt;=H191,"✅ Mature","🔄 Developing"))</f>
        <v>✅ Mature</v>
      </c>
      <c r="L191" s="27">
        <f>IF(J191&lt;G191,0%,IF(J191&gt;=H191,100%,(J191-G191)/(H191-G191)))</f>
        <v>1</v>
      </c>
    </row>
    <row r="192" spans="1:12">
      <c r="A192" s="34" t="s">
        <v>494</v>
      </c>
      <c r="B192" s="34" t="s">
        <v>222</v>
      </c>
      <c r="C192" s="34" t="s">
        <v>474</v>
      </c>
      <c r="D192" s="34" t="s">
        <v>495</v>
      </c>
      <c r="E192" s="34" t="s">
        <v>496</v>
      </c>
      <c r="F192" s="34" t="s">
        <v>497</v>
      </c>
      <c r="G192" s="34">
        <v>8</v>
      </c>
      <c r="H192" s="34">
        <v>28</v>
      </c>
      <c r="I192" s="34" t="s">
        <v>65</v>
      </c>
      <c r="J192" s="34">
        <f>'DNA Loop Engine'!$B$5</f>
        <v>50</v>
      </c>
      <c r="K192" s="34" t="str">
        <f>IF(J192&lt;G192,"⏳ Dormant",IF(J192&gt;=H192,"✅ Mature","🔄 Developing"))</f>
        <v>✅ Mature</v>
      </c>
      <c r="L192" s="35">
        <f>IF(J192&lt;G192,0%,IF(J192&gt;=H192,100%,(J192-G192)/(H192-G192)))</f>
        <v>1</v>
      </c>
    </row>
    <row r="193" spans="1:12">
      <c r="A193" s="34" t="s">
        <v>494</v>
      </c>
      <c r="B193" s="34" t="s">
        <v>225</v>
      </c>
      <c r="C193" s="34" t="s">
        <v>474</v>
      </c>
      <c r="D193" s="34" t="s">
        <v>495</v>
      </c>
      <c r="E193" s="34" t="s">
        <v>496</v>
      </c>
      <c r="F193" s="34" t="s">
        <v>498</v>
      </c>
      <c r="G193" s="34">
        <v>8</v>
      </c>
      <c r="H193" s="34">
        <v>28</v>
      </c>
      <c r="I193" s="34" t="s">
        <v>65</v>
      </c>
      <c r="J193" s="34">
        <f>'DNA Loop Engine'!$B$5</f>
        <v>50</v>
      </c>
      <c r="K193" s="34" t="str">
        <f>IF(J193&lt;G193,"⏳ Dormant",IF(J193&gt;=H193,"✅ Mature","🔄 Developing"))</f>
        <v>✅ Mature</v>
      </c>
      <c r="L193" s="35">
        <f>IF(J193&lt;G193,0%,IF(J193&gt;=H193,100%,(J193-G193)/(H193-G193)))</f>
        <v>1</v>
      </c>
    </row>
    <row r="194" spans="1:12">
      <c r="A194" s="34" t="s">
        <v>494</v>
      </c>
      <c r="B194" s="34" t="s">
        <v>290</v>
      </c>
      <c r="C194" s="34" t="s">
        <v>474</v>
      </c>
      <c r="D194" s="34" t="s">
        <v>499</v>
      </c>
      <c r="E194" s="34" t="s">
        <v>500</v>
      </c>
      <c r="F194" s="34" t="s">
        <v>477</v>
      </c>
      <c r="G194" s="34">
        <v>8</v>
      </c>
      <c r="H194" s="34">
        <v>28</v>
      </c>
      <c r="I194" s="34" t="s">
        <v>292</v>
      </c>
      <c r="J194" s="34">
        <f>'DNA Loop Engine'!$B$5</f>
        <v>50</v>
      </c>
      <c r="K194" s="34" t="str">
        <f>IF(J194&lt;G194,"⏳ Dormant",IF(J194&gt;=H194,"✅ Mature","🔄 Developing"))</f>
        <v>✅ Mature</v>
      </c>
      <c r="L194" s="35">
        <f>IF(J194&lt;G194,0%,IF(J194&gt;=H194,100%,(J194-G194)/(H194-G194)))</f>
        <v>1</v>
      </c>
    </row>
  </sheetData>
  <mergeCells count="1">
    <mergeCell ref="A175:L17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70E5-9F71-413D-B6FF-8C05ECBBB2DD}">
  <dimension ref="A1:E8"/>
  <sheetViews>
    <sheetView workbookViewId="0">
      <selection activeCell="C20" sqref="C20"/>
    </sheetView>
  </sheetViews>
  <sheetFormatPr defaultRowHeight="15"/>
  <cols>
    <col min="1" max="1" width="14.28515625" bestFit="1" customWidth="1"/>
    <col min="2" max="2" width="16" bestFit="1" customWidth="1"/>
    <col min="3" max="3" width="17.7109375" bestFit="1" customWidth="1"/>
    <col min="4" max="4" width="12.140625" bestFit="1" customWidth="1"/>
    <col min="5" max="5" width="25.7109375" bestFit="1" customWidth="1"/>
  </cols>
  <sheetData>
    <row r="1" spans="1:5">
      <c r="A1" s="1" t="s">
        <v>501</v>
      </c>
      <c r="B1" s="1" t="s">
        <v>502</v>
      </c>
      <c r="C1" s="1" t="s">
        <v>503</v>
      </c>
      <c r="D1" s="1" t="s">
        <v>43</v>
      </c>
      <c r="E1" s="1" t="s">
        <v>504</v>
      </c>
    </row>
    <row r="2" spans="1:5">
      <c r="A2" t="s">
        <v>6</v>
      </c>
      <c r="B2" t="s">
        <v>505</v>
      </c>
      <c r="C2" t="s">
        <v>506</v>
      </c>
      <c r="D2" t="s">
        <v>507</v>
      </c>
      <c r="E2" t="s">
        <v>508</v>
      </c>
    </row>
    <row r="3" spans="1:5">
      <c r="A3" t="s">
        <v>11</v>
      </c>
      <c r="B3" t="s">
        <v>222</v>
      </c>
      <c r="C3" t="s">
        <v>509</v>
      </c>
      <c r="D3" t="s">
        <v>510</v>
      </c>
      <c r="E3" t="s">
        <v>511</v>
      </c>
    </row>
    <row r="4" spans="1:5">
      <c r="A4" t="s">
        <v>16</v>
      </c>
      <c r="B4" t="s">
        <v>512</v>
      </c>
      <c r="C4" t="s">
        <v>513</v>
      </c>
      <c r="D4" t="s">
        <v>514</v>
      </c>
      <c r="E4" t="s">
        <v>515</v>
      </c>
    </row>
    <row r="5" spans="1:5">
      <c r="A5" t="s">
        <v>21</v>
      </c>
      <c r="B5" t="s">
        <v>516</v>
      </c>
      <c r="C5" t="s">
        <v>517</v>
      </c>
      <c r="D5" t="s">
        <v>518</v>
      </c>
      <c r="E5" t="s">
        <v>519</v>
      </c>
    </row>
    <row r="6" spans="1:5">
      <c r="A6" t="s">
        <v>26</v>
      </c>
      <c r="B6" t="s">
        <v>258</v>
      </c>
      <c r="C6" t="s">
        <v>520</v>
      </c>
      <c r="D6" t="s">
        <v>521</v>
      </c>
      <c r="E6" t="s">
        <v>522</v>
      </c>
    </row>
    <row r="7" spans="1:5">
      <c r="A7" t="s">
        <v>31</v>
      </c>
      <c r="B7" t="s">
        <v>523</v>
      </c>
      <c r="C7" t="s">
        <v>524</v>
      </c>
      <c r="D7" t="s">
        <v>525</v>
      </c>
      <c r="E7" t="s">
        <v>526</v>
      </c>
    </row>
    <row r="8" spans="1:5">
      <c r="A8" t="s">
        <v>36</v>
      </c>
      <c r="B8" t="s">
        <v>225</v>
      </c>
      <c r="C8" t="s">
        <v>527</v>
      </c>
      <c r="D8" t="s">
        <v>528</v>
      </c>
      <c r="E8" t="s">
        <v>529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4C69-7FEB-47F2-BD0A-007B5CEED248}">
  <dimension ref="A1:G17"/>
  <sheetViews>
    <sheetView workbookViewId="0">
      <selection sqref="A1:G9"/>
    </sheetView>
  </sheetViews>
  <sheetFormatPr defaultRowHeight="15"/>
  <cols>
    <col min="3" max="3" width="18.85546875" bestFit="1" customWidth="1"/>
    <col min="4" max="4" width="16" bestFit="1" customWidth="1"/>
    <col min="5" max="5" width="13.7109375" bestFit="1" customWidth="1"/>
    <col min="6" max="6" width="13.28515625" bestFit="1" customWidth="1"/>
    <col min="7" max="7" width="20.5703125" bestFit="1" customWidth="1"/>
  </cols>
  <sheetData>
    <row r="1" spans="1:7">
      <c r="A1" s="1" t="s">
        <v>530</v>
      </c>
      <c r="B1" s="1" t="s">
        <v>531</v>
      </c>
      <c r="C1" s="1" t="s">
        <v>532</v>
      </c>
      <c r="D1" s="1" t="s">
        <v>533</v>
      </c>
      <c r="E1" s="1" t="s">
        <v>534</v>
      </c>
      <c r="F1" s="1" t="s">
        <v>535</v>
      </c>
      <c r="G1" s="1" t="s">
        <v>536</v>
      </c>
    </row>
    <row r="2" spans="1:7">
      <c r="A2" t="s">
        <v>537</v>
      </c>
      <c r="B2">
        <v>0</v>
      </c>
      <c r="C2" t="s">
        <v>7</v>
      </c>
      <c r="D2">
        <v>0.01</v>
      </c>
      <c r="E2">
        <v>0</v>
      </c>
      <c r="F2">
        <v>0</v>
      </c>
      <c r="G2">
        <v>0</v>
      </c>
    </row>
    <row r="3" spans="1:7">
      <c r="A3" t="s">
        <v>538</v>
      </c>
      <c r="B3">
        <v>4</v>
      </c>
      <c r="C3" t="s">
        <v>12</v>
      </c>
      <c r="D3">
        <v>0.1</v>
      </c>
      <c r="E3">
        <v>0.05</v>
      </c>
      <c r="F3">
        <v>0</v>
      </c>
      <c r="G3">
        <v>0</v>
      </c>
    </row>
    <row r="4" spans="1:7">
      <c r="A4" t="s">
        <v>539</v>
      </c>
      <c r="B4">
        <v>8</v>
      </c>
      <c r="C4" t="s">
        <v>17</v>
      </c>
      <c r="D4">
        <v>0.25</v>
      </c>
      <c r="E4">
        <v>0.1</v>
      </c>
      <c r="F4">
        <v>0.05</v>
      </c>
      <c r="G4">
        <v>0.1</v>
      </c>
    </row>
    <row r="5" spans="1:7">
      <c r="A5" t="s">
        <v>540</v>
      </c>
      <c r="B5">
        <v>12</v>
      </c>
      <c r="C5" t="s">
        <v>22</v>
      </c>
      <c r="D5">
        <v>0.4</v>
      </c>
      <c r="E5">
        <v>0.25</v>
      </c>
      <c r="F5">
        <v>0.2</v>
      </c>
      <c r="G5">
        <v>0.25</v>
      </c>
    </row>
    <row r="6" spans="1:7">
      <c r="A6" t="s">
        <v>541</v>
      </c>
      <c r="B6">
        <v>20</v>
      </c>
      <c r="C6" t="s">
        <v>27</v>
      </c>
      <c r="D6">
        <v>0.6</v>
      </c>
      <c r="E6">
        <v>0.4</v>
      </c>
      <c r="F6">
        <v>0.4</v>
      </c>
      <c r="G6">
        <v>0.5</v>
      </c>
    </row>
    <row r="7" spans="1:7">
      <c r="A7" t="s">
        <v>542</v>
      </c>
      <c r="B7">
        <v>28</v>
      </c>
      <c r="C7" t="s">
        <v>32</v>
      </c>
      <c r="D7">
        <v>0.8</v>
      </c>
      <c r="E7">
        <v>0.6</v>
      </c>
      <c r="F7">
        <v>0.6</v>
      </c>
      <c r="G7">
        <v>0.75</v>
      </c>
    </row>
    <row r="8" spans="1:7">
      <c r="A8" t="s">
        <v>543</v>
      </c>
      <c r="B8">
        <v>36</v>
      </c>
      <c r="C8" t="s">
        <v>37</v>
      </c>
      <c r="D8">
        <v>0.95</v>
      </c>
      <c r="E8">
        <v>0.8</v>
      </c>
      <c r="F8">
        <v>0.8</v>
      </c>
      <c r="G8">
        <v>0.9</v>
      </c>
    </row>
    <row r="9" spans="1:7">
      <c r="A9" t="s">
        <v>544</v>
      </c>
      <c r="B9">
        <v>40</v>
      </c>
      <c r="C9" t="s">
        <v>545</v>
      </c>
      <c r="D9">
        <v>1</v>
      </c>
      <c r="E9">
        <v>1</v>
      </c>
      <c r="F9">
        <v>1</v>
      </c>
      <c r="G9">
        <v>1</v>
      </c>
    </row>
    <row r="10" spans="1:7">
      <c r="A10" t="s">
        <v>546</v>
      </c>
      <c r="B10">
        <v>45</v>
      </c>
      <c r="C10" t="s">
        <v>547</v>
      </c>
      <c r="D10">
        <v>1</v>
      </c>
      <c r="E10">
        <v>1</v>
      </c>
      <c r="F10">
        <v>1</v>
      </c>
      <c r="G10">
        <v>1</v>
      </c>
    </row>
    <row r="11" spans="1:7">
      <c r="A11" t="s">
        <v>548</v>
      </c>
      <c r="B11">
        <v>50</v>
      </c>
      <c r="C11" t="s">
        <v>547</v>
      </c>
      <c r="D11">
        <v>1</v>
      </c>
      <c r="E11">
        <v>1</v>
      </c>
      <c r="F11">
        <v>1</v>
      </c>
      <c r="G11">
        <v>1</v>
      </c>
    </row>
    <row r="12" spans="1:7">
      <c r="A12" t="s">
        <v>549</v>
      </c>
      <c r="B12">
        <v>60</v>
      </c>
      <c r="C12" t="s">
        <v>550</v>
      </c>
      <c r="D12">
        <v>1</v>
      </c>
      <c r="E12">
        <v>1</v>
      </c>
      <c r="F12">
        <v>1</v>
      </c>
      <c r="G12">
        <v>1</v>
      </c>
    </row>
    <row r="13" spans="1:7">
      <c r="A13" t="s">
        <v>551</v>
      </c>
      <c r="B13">
        <v>70</v>
      </c>
      <c r="C13" t="s">
        <v>550</v>
      </c>
      <c r="D13">
        <v>1</v>
      </c>
      <c r="E13">
        <v>1</v>
      </c>
      <c r="F13">
        <v>1</v>
      </c>
      <c r="G13">
        <v>1</v>
      </c>
    </row>
    <row r="14" spans="1:7">
      <c r="A14" t="s">
        <v>552</v>
      </c>
      <c r="B14">
        <v>80</v>
      </c>
      <c r="C14" t="s">
        <v>550</v>
      </c>
      <c r="D14">
        <v>1</v>
      </c>
      <c r="E14">
        <v>1</v>
      </c>
      <c r="F14">
        <v>1</v>
      </c>
      <c r="G14">
        <v>1</v>
      </c>
    </row>
    <row r="15" spans="1:7">
      <c r="A15" t="s">
        <v>553</v>
      </c>
      <c r="B15">
        <v>90</v>
      </c>
      <c r="C15" t="s">
        <v>554</v>
      </c>
      <c r="D15">
        <v>1</v>
      </c>
      <c r="E15">
        <v>1</v>
      </c>
      <c r="F15">
        <v>1</v>
      </c>
      <c r="G15">
        <v>1</v>
      </c>
    </row>
    <row r="16" spans="1:7">
      <c r="A16" t="s">
        <v>555</v>
      </c>
      <c r="B16">
        <v>100</v>
      </c>
      <c r="C16" t="s">
        <v>554</v>
      </c>
      <c r="D16">
        <v>1</v>
      </c>
      <c r="E16">
        <v>1</v>
      </c>
      <c r="F16">
        <v>1</v>
      </c>
      <c r="G16">
        <v>1</v>
      </c>
    </row>
    <row r="17" spans="1:7">
      <c r="A17" t="s">
        <v>556</v>
      </c>
      <c r="B17">
        <v>125</v>
      </c>
      <c r="C17" t="s">
        <v>557</v>
      </c>
      <c r="D17">
        <v>1</v>
      </c>
      <c r="E17">
        <v>1</v>
      </c>
      <c r="F17">
        <v>1</v>
      </c>
      <c r="G17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3D2C-8D9B-43AE-9B48-9C2E3CD7709D}">
  <dimension ref="A1:F141"/>
  <sheetViews>
    <sheetView topLeftCell="A123" workbookViewId="0">
      <selection activeCell="B5" sqref="B5"/>
    </sheetView>
  </sheetViews>
  <sheetFormatPr defaultRowHeight="15"/>
  <cols>
    <col min="1" max="1" width="37.5703125" bestFit="1" customWidth="1"/>
    <col min="2" max="2" width="22.140625" bestFit="1" customWidth="1"/>
    <col min="3" max="3" width="14" bestFit="1" customWidth="1"/>
    <col min="4" max="4" width="31.28515625" bestFit="1" customWidth="1"/>
    <col min="5" max="5" width="23.140625" bestFit="1" customWidth="1"/>
    <col min="6" max="6" width="11.5703125" bestFit="1" customWidth="1"/>
  </cols>
  <sheetData>
    <row r="1" spans="1:6" ht="21">
      <c r="A1" s="317" t="s">
        <v>558</v>
      </c>
      <c r="B1" s="317"/>
    </row>
    <row r="3" spans="1:6" ht="15.75">
      <c r="A3" s="2" t="s">
        <v>559</v>
      </c>
      <c r="D3" s="2" t="s">
        <v>560</v>
      </c>
    </row>
    <row r="4" spans="1:6">
      <c r="A4" s="1" t="s">
        <v>561</v>
      </c>
      <c r="B4" s="5">
        <v>4000</v>
      </c>
      <c r="D4" s="8" t="s">
        <v>502</v>
      </c>
      <c r="E4" s="8" t="s">
        <v>562</v>
      </c>
      <c r="F4" s="8" t="s">
        <v>43</v>
      </c>
    </row>
    <row r="5" spans="1:6">
      <c r="A5" s="1" t="s">
        <v>563</v>
      </c>
      <c r="B5">
        <f>ROUND(B4/80,0)</f>
        <v>50</v>
      </c>
      <c r="D5" t="s">
        <v>505</v>
      </c>
      <c r="E5" t="str">
        <f>IF(B$5&gt;=0,"✅ Active","⏳ Pending")</f>
        <v>✅ Active</v>
      </c>
      <c r="F5" t="s">
        <v>507</v>
      </c>
    </row>
    <row r="6" spans="1:6">
      <c r="A6" s="1" t="s">
        <v>564</v>
      </c>
      <c r="B6">
        <v>3200</v>
      </c>
      <c r="D6" t="s">
        <v>222</v>
      </c>
      <c r="E6" t="str">
        <f>IF(B$5&gt;=4,"✅ Active","⏳ Pending")</f>
        <v>✅ Active</v>
      </c>
      <c r="F6" t="s">
        <v>510</v>
      </c>
    </row>
    <row r="7" spans="1:6">
      <c r="A7" s="1" t="s">
        <v>565</v>
      </c>
      <c r="B7" s="5">
        <v>1</v>
      </c>
      <c r="D7" t="s">
        <v>512</v>
      </c>
      <c r="E7" t="str">
        <f>IF(B$5&gt;=8,"✅ Active","⏳ Pending")</f>
        <v>✅ Active</v>
      </c>
      <c r="F7" t="s">
        <v>514</v>
      </c>
    </row>
    <row r="8" spans="1:6">
      <c r="A8" s="1" t="s">
        <v>566</v>
      </c>
      <c r="B8" t="str">
        <f>IF(B4&gt;=B6,"🎉 BIRTH COMPLETE",IF(B4=0,"⏸️ NOT STARTED","🔄 GESTATING"))</f>
        <v>🎉 BIRTH COMPLETE</v>
      </c>
      <c r="D8" t="s">
        <v>516</v>
      </c>
      <c r="E8" t="str">
        <f>IF(B$5&gt;=12,"✅ Active","⏳ Pending")</f>
        <v>✅ Active</v>
      </c>
      <c r="F8" t="s">
        <v>518</v>
      </c>
    </row>
    <row r="9" spans="1:6">
      <c r="D9" t="s">
        <v>258</v>
      </c>
      <c r="E9" t="str">
        <f>IF(B$5&gt;=20,"✅ Active","⏳ Pending")</f>
        <v>✅ Active</v>
      </c>
      <c r="F9" t="s">
        <v>521</v>
      </c>
    </row>
    <row r="10" spans="1:6" ht="15.75">
      <c r="A10" s="2" t="s">
        <v>567</v>
      </c>
      <c r="D10" t="s">
        <v>523</v>
      </c>
      <c r="E10" t="str">
        <f>IF(B$5&gt;=28,"✅ Active","⏳ Pending")</f>
        <v>✅ Active</v>
      </c>
      <c r="F10" t="s">
        <v>525</v>
      </c>
    </row>
    <row r="11" spans="1:6">
      <c r="A11" s="1" t="s">
        <v>568</v>
      </c>
      <c r="B11" t="str">
        <f>"T"&amp;TEXT(B4,"0000")</f>
        <v>T4000</v>
      </c>
      <c r="D11" t="s">
        <v>225</v>
      </c>
      <c r="E11" t="str">
        <f>IF(B$5&gt;=36,"✅ Active","⏳ Pending")</f>
        <v>✅ Active</v>
      </c>
      <c r="F11" t="s">
        <v>528</v>
      </c>
    </row>
    <row r="12" spans="1:6">
      <c r="A12" s="1" t="s">
        <v>569</v>
      </c>
      <c r="B12" t="str">
        <f>IFERROR(_xlfn.XLOOKUP(B5,'Tick-Based DNA Loop'!B2:B17,'Tick-Based DNA Loop'!C2:C17,,"&lt;=",-1),"Post-Birth Development")</f>
        <v>Post-Birth Development</v>
      </c>
    </row>
    <row r="13" spans="1:6" ht="15.75">
      <c r="A13" s="1" t="s">
        <v>570</v>
      </c>
      <c r="B13" t="str">
        <f>IF(B5&gt;=40,"POSTNATAL",IFERROR(VLOOKUP(B5,'Prenatal Phases'!B2:E8,4,TRUE),"N/A"))</f>
        <v>POSTNATAL</v>
      </c>
      <c r="D13" s="2" t="s">
        <v>571</v>
      </c>
    </row>
    <row r="14" spans="1:6">
      <c r="A14" s="1" t="s">
        <v>572</v>
      </c>
      <c r="B14" t="str">
        <f>IF(B5&gt;=40,"Post-Birth Growth &amp; Learning",IFERROR(VLOOKUP(B5,'Prenatal Phases'!B2:C8,2,TRUE),"N/A"))</f>
        <v>Post-Birth Growth &amp; Learning</v>
      </c>
      <c r="D14" s="1" t="s">
        <v>573</v>
      </c>
      <c r="E14" t="str">
        <f>IF(B4&lt;B6, "T"&amp;TEXT(B4+100,"0000"), "COMPLETE")</f>
        <v>COMPLETE</v>
      </c>
    </row>
    <row r="15" spans="1:6">
      <c r="A15" s="1" t="s">
        <v>574</v>
      </c>
      <c r="B15" t="str">
        <f>IF(B5&gt;=40,"Continuous Development",IFERROR(VLOOKUP(B5,'Prenatal Phases'!B2:F8,5,TRUE),"N/A"))</f>
        <v>Continuous Development</v>
      </c>
      <c r="D15" s="1" t="s">
        <v>575</v>
      </c>
      <c r="E15">
        <f>MAX(0, B6-B4)</f>
        <v>0</v>
      </c>
    </row>
    <row r="16" spans="1:6">
      <c r="D16" s="1" t="s">
        <v>576</v>
      </c>
      <c r="E16" s="9">
        <f>B4/B6</f>
        <v>1.25</v>
      </c>
    </row>
    <row r="17" spans="1:5" ht="15.75">
      <c r="A17" s="2" t="s">
        <v>577</v>
      </c>
      <c r="D17" s="1" t="s">
        <v>578</v>
      </c>
      <c r="E17" t="str">
        <f>TEXT(INT(E15/100),"0")&amp;" ticks (~"&amp;ROUND(E15/80,1)&amp;" weeks)"</f>
        <v>0 ticks (~0 weeks)</v>
      </c>
    </row>
    <row r="18" spans="1:5">
      <c r="A18" s="1" t="s">
        <v>579</v>
      </c>
      <c r="B18" s="6">
        <f>IF(B5&gt;=40,1,IFERROR(_xlfn.XLOOKUP(B5,'Tick-Based DNA Loop'!B2:B17,'Tick-Based DNA Loop'!D2:D17,,"&lt;=",-1),0))</f>
        <v>1</v>
      </c>
      <c r="D18" s="1" t="s">
        <v>580</v>
      </c>
      <c r="E18" t="str">
        <f>IF(B5&gt;=40,"N/A (Born)",MAX(0,40-B5)&amp;" weeks")</f>
        <v>N/A (Born)</v>
      </c>
    </row>
    <row r="19" spans="1:5">
      <c r="A19" s="1" t="s">
        <v>581</v>
      </c>
      <c r="B19" s="6">
        <f>IF(B5&gt;=40,1,IFERROR(_xlfn.XLOOKUP(B5,'Tick-Based DNA Loop'!B2:B17,'Tick-Based DNA Loop'!E2:E17,,"&lt;=",-1),0))</f>
        <v>1</v>
      </c>
    </row>
    <row r="20" spans="1:5">
      <c r="A20" s="1" t="s">
        <v>582</v>
      </c>
      <c r="B20" s="6">
        <f>IF(B5&gt;=40,1,IFERROR(_xlfn.XLOOKUP(B5,'Tick-Based DNA Loop'!B2:B17,'Tick-Based DNA Loop'!F2:F17,,"&lt;=",-1),0))</f>
        <v>1</v>
      </c>
    </row>
    <row r="21" spans="1:5">
      <c r="A21" s="1" t="s">
        <v>583</v>
      </c>
      <c r="B21" s="6">
        <f>IF(B5&gt;=40,1,IFERROR(_xlfn.XLOOKUP(B5,'Tick-Based DNA Loop'!B2:B17,'Tick-Based DNA Loop'!G2:G17,,"&lt;=",-1),0))</f>
        <v>1</v>
      </c>
    </row>
    <row r="23" spans="1:5" ht="15.75">
      <c r="A23" s="2" t="s">
        <v>584</v>
      </c>
    </row>
    <row r="24" spans="1:5">
      <c r="A24" s="1" t="s">
        <v>585</v>
      </c>
      <c r="B24" s="6">
        <f>IF(B4&lt;B6, B7*B18, 0)</f>
        <v>0</v>
      </c>
    </row>
    <row r="25" spans="1:5">
      <c r="A25" s="1" t="s">
        <v>586</v>
      </c>
      <c r="B25" s="6">
        <f>IF(B4&lt;B6, (B6-B4)/B6, 0)</f>
        <v>0</v>
      </c>
    </row>
    <row r="26" spans="1:5">
      <c r="A26" s="1" t="s">
        <v>587</v>
      </c>
      <c r="B26" s="6">
        <f>IF(B4&lt;B6, B7*0.21, 0.21)</f>
        <v>0.21</v>
      </c>
    </row>
    <row r="27" spans="1:5">
      <c r="A27" s="1" t="s">
        <v>588</v>
      </c>
      <c r="B27" t="str">
        <f>IF(B4&gt;=B6, "🔌 SEVERED", "🔗 CONNECTED")</f>
        <v>🔌 SEVERED</v>
      </c>
    </row>
    <row r="28" spans="1:5">
      <c r="A28" s="1" t="s">
        <v>589</v>
      </c>
      <c r="B28" s="7">
        <f>B18*B7</f>
        <v>1</v>
      </c>
    </row>
    <row r="30" spans="1:5" ht="18.75">
      <c r="A30" s="14" t="s">
        <v>590</v>
      </c>
    </row>
    <row r="32" spans="1:5">
      <c r="A32" t="s">
        <v>591</v>
      </c>
      <c r="B32" t="s">
        <v>592</v>
      </c>
      <c r="C32" t="s">
        <v>593</v>
      </c>
      <c r="E32" t="s">
        <v>594</v>
      </c>
    </row>
    <row r="33" spans="1:6">
      <c r="A33" s="15" t="s">
        <v>595</v>
      </c>
      <c r="B33" s="15">
        <v>0</v>
      </c>
      <c r="C33" s="19" t="s">
        <v>596</v>
      </c>
      <c r="E33" s="15" t="s">
        <v>597</v>
      </c>
      <c r="F33" s="19" t="s">
        <v>598</v>
      </c>
    </row>
    <row r="34" spans="1:6">
      <c r="A34" s="16" t="s">
        <v>599</v>
      </c>
      <c r="B34" s="16">
        <v>0</v>
      </c>
      <c r="C34" s="20" t="s">
        <v>596</v>
      </c>
      <c r="E34" s="309" t="s">
        <v>600</v>
      </c>
      <c r="F34" s="20" t="s">
        <v>601</v>
      </c>
    </row>
    <row r="35" spans="1:6">
      <c r="A35" s="16" t="s">
        <v>602</v>
      </c>
      <c r="B35" s="16">
        <v>0</v>
      </c>
      <c r="C35" s="20" t="s">
        <v>596</v>
      </c>
      <c r="E35" s="309" t="s">
        <v>603</v>
      </c>
      <c r="F35" s="20" t="s">
        <v>604</v>
      </c>
    </row>
    <row r="36" spans="1:6">
      <c r="A36" s="16"/>
      <c r="B36" s="16"/>
      <c r="C36" s="20"/>
      <c r="E36" s="309" t="s">
        <v>605</v>
      </c>
      <c r="F36" s="20" t="s">
        <v>606</v>
      </c>
    </row>
    <row r="37" spans="1:6">
      <c r="A37" s="16" t="s">
        <v>607</v>
      </c>
      <c r="B37" s="16" t="s">
        <v>608</v>
      </c>
      <c r="C37" s="20"/>
      <c r="E37" s="309" t="s">
        <v>609</v>
      </c>
      <c r="F37" s="20" t="s">
        <v>610</v>
      </c>
    </row>
    <row r="38" spans="1:6">
      <c r="A38" s="16" t="s">
        <v>611</v>
      </c>
      <c r="B38" s="16">
        <f>IF(B5&gt;=40,1,B18)*0.5</f>
        <v>0.5</v>
      </c>
      <c r="C38" s="20"/>
      <c r="E38" s="309" t="s">
        <v>612</v>
      </c>
      <c r="F38" s="20" t="s">
        <v>613</v>
      </c>
    </row>
    <row r="39" spans="1:6">
      <c r="A39" s="16" t="s">
        <v>614</v>
      </c>
      <c r="B39" s="17">
        <f>B38*0.4</f>
        <v>0.2</v>
      </c>
      <c r="C39" s="20"/>
      <c r="E39" s="309" t="s">
        <v>615</v>
      </c>
      <c r="F39" s="20" t="s">
        <v>616</v>
      </c>
    </row>
    <row r="40" spans="1:6">
      <c r="A40" s="18"/>
      <c r="B40" s="18"/>
      <c r="C40" s="21"/>
      <c r="E40" s="18"/>
      <c r="F40" s="21"/>
    </row>
    <row r="41" spans="1:6">
      <c r="A41" t="s">
        <v>617</v>
      </c>
    </row>
    <row r="42" spans="1:6">
      <c r="A42" s="1" t="s">
        <v>618</v>
      </c>
    </row>
    <row r="45" spans="1:6" ht="15.75">
      <c r="A45" s="318" t="s">
        <v>619</v>
      </c>
      <c r="B45" s="318"/>
      <c r="C45" s="318"/>
      <c r="D45" s="318"/>
      <c r="E45" s="318"/>
      <c r="F45" s="318"/>
    </row>
    <row r="47" spans="1:6">
      <c r="A47" s="36" t="s">
        <v>620</v>
      </c>
      <c r="B47" s="36" t="s">
        <v>621</v>
      </c>
      <c r="C47" s="36" t="s">
        <v>562</v>
      </c>
      <c r="D47" s="36" t="s">
        <v>622</v>
      </c>
    </row>
    <row r="48" spans="1:6">
      <c r="A48" t="s">
        <v>458</v>
      </c>
      <c r="B48" t="s">
        <v>456</v>
      </c>
      <c r="C48" t="str">
        <f>COUNTIFS('Anatomy Growth Engine'!A177:A194,"Motor Cortex",'Anatomy Growth Engine'!K177:K194,"✅ Mature")&amp;"/"&amp;COUNTIF('Anatomy Growth Engine'!A177:A194,"Motor Cortex")&amp;" mature"</f>
        <v>4/4 mature</v>
      </c>
      <c r="D48">
        <v>4</v>
      </c>
    </row>
    <row r="49" spans="1:6">
      <c r="A49" t="s">
        <v>466</v>
      </c>
      <c r="B49" t="s">
        <v>258</v>
      </c>
      <c r="C49" t="str">
        <f>COUNTIFS('Anatomy Growth Engine'!A177:A194,"Cerebellum",'Anatomy Growth Engine'!K177:K194,"✅ Mature")&amp;"/"&amp;COUNTIF('Anatomy Growth Engine'!A177:A194,"Cerebellum")&amp;" mature"</f>
        <v>3/3 mature</v>
      </c>
      <c r="D49">
        <v>3</v>
      </c>
    </row>
    <row r="50" spans="1:6">
      <c r="A50" t="s">
        <v>474</v>
      </c>
      <c r="B50" t="s">
        <v>260</v>
      </c>
      <c r="C50" t="str">
        <f>COUNTIFS('Anatomy Growth Engine'!A177:A194,"Brainstem",'Anatomy Growth Engine'!K177:K194,"🔄 Developing")&amp;"/"&amp;COUNTIF('Anatomy Growth Engine'!A177:A194,"Brainstem")&amp;" developing"</f>
        <v>0/2 developing</v>
      </c>
      <c r="D50">
        <v>2</v>
      </c>
    </row>
    <row r="51" spans="1:6">
      <c r="A51" t="s">
        <v>483</v>
      </c>
      <c r="B51" t="s">
        <v>262</v>
      </c>
      <c r="C51" t="str">
        <f>COUNTIFS('Anatomy Growth Engine'!A177:A194,"Spinal Cord",'Anatomy Growth Engine'!K177:K194,"🔄 Developing")&amp;"/"&amp;COUNTIF('Anatomy Growth Engine'!A177:A194,"Spinal Cord")&amp;" developing"</f>
        <v>0/4 developing</v>
      </c>
      <c r="D51">
        <v>4</v>
      </c>
    </row>
    <row r="52" spans="1:6">
      <c r="A52" t="s">
        <v>623</v>
      </c>
      <c r="B52" t="s">
        <v>485</v>
      </c>
      <c r="C52" t="str">
        <f>COUNTIFS('Anatomy Growth Engine'!A177:A194,"Cerebrum",'Anatomy Growth Engine'!K177:K194,"⏳ Dormant")&amp;"/"&amp;COUNTIF('Anatomy Growth Engine'!A177:A194,"Cerebrum")&amp;" dormant"</f>
        <v>0/2 dormant</v>
      </c>
      <c r="D52">
        <v>2</v>
      </c>
    </row>
    <row r="53" spans="1:6">
      <c r="A53" t="s">
        <v>495</v>
      </c>
      <c r="B53" t="s">
        <v>494</v>
      </c>
      <c r="C53" t="str">
        <f>COUNTIFS('Anatomy Growth Engine'!A177:A194,"Autonomic System",'Anatomy Growth Engine'!K177:K194,"🔄 Developing")&amp;"/"&amp;COUNTIF('Anatomy Growth Engine'!A177:A194,"Autonomic System")&amp;" developing"</f>
        <v>0/3 developing</v>
      </c>
      <c r="D53">
        <v>3</v>
      </c>
    </row>
    <row r="55" spans="1:6">
      <c r="A55" s="1" t="s">
        <v>624</v>
      </c>
      <c r="B55" s="1"/>
      <c r="C55" s="1" t="str">
        <f>COUNTIF('Anatomy Growth Engine'!K177:K194,"✅ Mature")&amp;" of 18 mature"</f>
        <v>18 of 18 mature</v>
      </c>
    </row>
    <row r="57" spans="1:6" ht="18.75">
      <c r="A57" s="319" t="s">
        <v>625</v>
      </c>
      <c r="B57" s="319"/>
      <c r="C57" s="319"/>
      <c r="D57" s="319"/>
      <c r="E57" s="319"/>
      <c r="F57" s="319"/>
    </row>
    <row r="59" spans="1:6" ht="21">
      <c r="A59" s="1" t="s">
        <v>626</v>
      </c>
      <c r="B59" s="38">
        <f>IF(B5&lt;40,120+B18*30,MAX(80,147-((B5-40)/52)*47))</f>
        <v>137.96153846153845</v>
      </c>
      <c r="C59" s="37" t="s">
        <v>627</v>
      </c>
      <c r="D59" s="1" t="s">
        <v>628</v>
      </c>
      <c r="E59" t="str">
        <f>REPT("💓 ",MIN(5,ROUND(B59/30,0)))</f>
        <v xml:space="preserve">💓 💓 💓 💓 💓 </v>
      </c>
    </row>
    <row r="60" spans="1:6">
      <c r="A60" s="1" t="s">
        <v>629</v>
      </c>
      <c r="B60">
        <f>ROUND((B59 * 0.002 * B18), 3)</f>
        <v>0.27600000000000002</v>
      </c>
      <c r="C60" s="37" t="s">
        <v>630</v>
      </c>
      <c r="D60" t="s">
        <v>631</v>
      </c>
      <c r="E60" t="str">
        <f>IF(B59&gt;160,"Rapid fetal rhythm",IF(B59&gt;130,"Normal fetal rhythm",IF(B59&gt;110,"Slow fetal rhythm","Bradycardic")))</f>
        <v>Normal fetal rhythm</v>
      </c>
    </row>
    <row r="61" spans="1:6">
      <c r="A61" s="1" t="s">
        <v>632</v>
      </c>
      <c r="B61">
        <f>ROUND(B60 * (1 + B18), 3)</f>
        <v>0.55200000000000005</v>
      </c>
      <c r="C61" s="37" t="s">
        <v>630</v>
      </c>
    </row>
    <row r="62" spans="1:6">
      <c r="A62" s="1" t="s">
        <v>633</v>
      </c>
      <c r="B62">
        <f>ROUND(B18 * 0.9, 2)</f>
        <v>0.9</v>
      </c>
      <c r="C62" s="37" t="s">
        <v>634</v>
      </c>
      <c r="D62" s="1" t="s">
        <v>635</v>
      </c>
      <c r="E62" t="str">
        <f>IF(B27="🔗 CONNECTED","Active umbilical circulation","Cord severed")</f>
        <v>Cord severed</v>
      </c>
    </row>
    <row r="63" spans="1:6">
      <c r="A63" s="1" t="s">
        <v>636</v>
      </c>
      <c r="B63">
        <f>ROUND(B60 * 0.1, 2)</f>
        <v>0.03</v>
      </c>
      <c r="C63" s="37" t="s">
        <v>634</v>
      </c>
    </row>
    <row r="64" spans="1:6">
      <c r="A64" s="1" t="s">
        <v>637</v>
      </c>
      <c r="B64">
        <f>ROUND(2 * B18, 1)</f>
        <v>2</v>
      </c>
      <c r="C64" s="37" t="s">
        <v>638</v>
      </c>
      <c r="D64" s="1" t="s">
        <v>639</v>
      </c>
      <c r="E64" t="str">
        <f>IF(B5&gt;=3,"4-chamber pumping","Primitive tube")</f>
        <v>4-chamber pumping</v>
      </c>
    </row>
    <row r="65" spans="1:6">
      <c r="A65" s="1" t="s">
        <v>640</v>
      </c>
      <c r="B65" t="str">
        <f>IF(B59&gt;170,"🔴 TACHYCARDIA",IF(B59&lt;110,"🔵 BRADYCARDIA","🟢 NORMAL"))</f>
        <v>🟢 NORMAL</v>
      </c>
      <c r="C65" s="37"/>
      <c r="D65" s="1" t="s">
        <v>641</v>
      </c>
      <c r="E65" t="str">
        <f>ROUND(B18 * 300, 0) &amp; " mL"</f>
        <v>300 mL</v>
      </c>
    </row>
    <row r="66" spans="1:6">
      <c r="A66" s="1" t="s">
        <v>642</v>
      </c>
      <c r="B66" t="str">
        <f>ROUND((B5 - 8) / (28 - 8) * 100, 0) &amp; "%"</f>
        <v>210%</v>
      </c>
      <c r="C66" s="37"/>
    </row>
    <row r="67" spans="1:6">
      <c r="A67" s="1" t="s">
        <v>643</v>
      </c>
      <c r="B67" t="str">
        <f>IF(B5&lt;8,"⏳ NOT STARTED",IF(B5&lt;28,"🔄 DEVELOPING","✅ MATURE"))</f>
        <v>✅ MATURE</v>
      </c>
      <c r="C67" s="37"/>
    </row>
    <row r="69" spans="1:6" ht="18.75">
      <c r="A69" s="320" t="s">
        <v>644</v>
      </c>
      <c r="B69" s="321"/>
      <c r="C69" s="321"/>
      <c r="D69" s="321"/>
      <c r="E69" s="321"/>
      <c r="F69" s="321"/>
    </row>
    <row r="71" spans="1:6">
      <c r="A71" s="1" t="s">
        <v>645</v>
      </c>
      <c r="B71">
        <f>40+(B62*20)-(B76*10)</f>
        <v>57.28</v>
      </c>
      <c r="C71" t="s">
        <v>627</v>
      </c>
      <c r="D71" s="1" t="s">
        <v>646</v>
      </c>
      <c r="E71" t="str">
        <f>IF(B5&gt;=8,REPT("🌬️ ",MIN(5,ROUND(B71/10,0))),"⏳ Not active")</f>
        <v xml:space="preserve">🌬️ 🌬️ 🌬️ 🌬️ 🌬️ </v>
      </c>
    </row>
    <row r="72" spans="1:6">
      <c r="A72" s="1" t="s">
        <v>647</v>
      </c>
      <c r="B72">
        <f>5+(B18*10)</f>
        <v>15</v>
      </c>
      <c r="C72" t="s">
        <v>638</v>
      </c>
      <c r="D72" s="1" t="s">
        <v>648</v>
      </c>
      <c r="E72" t="str">
        <f>IF(B78&gt;=0.8,"Full expansion",IF(B78&gt;=0.5,"Partial expansion","Minimal"))</f>
        <v>Full expansion</v>
      </c>
    </row>
    <row r="73" spans="1:6">
      <c r="A73" s="1" t="s">
        <v>649</v>
      </c>
      <c r="B73">
        <f>MIN(1,B26+B75*0.5)</f>
        <v>0.71</v>
      </c>
      <c r="C73" t="s">
        <v>634</v>
      </c>
      <c r="D73" s="1"/>
    </row>
    <row r="74" spans="1:6">
      <c r="A74" s="1" t="s">
        <v>650</v>
      </c>
      <c r="B74">
        <f>MAX(0,1-B73-0.2)</f>
        <v>9.0000000000000024E-2</v>
      </c>
      <c r="C74" t="s">
        <v>634</v>
      </c>
      <c r="D74" s="1" t="s">
        <v>651</v>
      </c>
      <c r="E74" t="str">
        <f>IF(B5&gt;=28,"O₂/CO₂ exchange active",IF(B5&gt;=12,"Forming gas exchange surfaces","Pre-alveolar stage"))</f>
        <v>O₂/CO₂ exchange active</v>
      </c>
    </row>
    <row r="75" spans="1:6">
      <c r="A75" s="1" t="s">
        <v>652</v>
      </c>
      <c r="B75" s="11">
        <f>AVERAGE('Respiratory Control'!L:L)</f>
        <v>1</v>
      </c>
      <c r="C75" t="s">
        <v>653</v>
      </c>
      <c r="D75" s="1"/>
    </row>
    <row r="76" spans="1:6">
      <c r="A76" s="1" t="s">
        <v>654</v>
      </c>
      <c r="B76">
        <f>B74*0.8</f>
        <v>7.2000000000000022E-2</v>
      </c>
      <c r="C76" t="s">
        <v>634</v>
      </c>
      <c r="D76" s="1" t="s">
        <v>655</v>
      </c>
      <c r="E76" t="str">
        <f>IF(B5&gt;=8,"Rhythmic contractions active","⏳ Awaiting neural activation")</f>
        <v>Rhythmic contractions active</v>
      </c>
    </row>
    <row r="77" spans="1:6">
      <c r="A77" s="1" t="s">
        <v>656</v>
      </c>
      <c r="B77">
        <f>B71*B72/1000</f>
        <v>0.85920000000000007</v>
      </c>
      <c r="C77" t="s">
        <v>630</v>
      </c>
      <c r="D77" s="1"/>
    </row>
    <row r="78" spans="1:6">
      <c r="A78" s="1" t="s">
        <v>657</v>
      </c>
      <c r="B78" s="11">
        <f>AVERAGE('Respiratory Control'!L:L)</f>
        <v>1</v>
      </c>
      <c r="C78" t="s">
        <v>653</v>
      </c>
      <c r="D78" s="1"/>
    </row>
    <row r="79" spans="1:6">
      <c r="A79" s="1" t="s">
        <v>658</v>
      </c>
      <c r="B79" t="str">
        <f>IF(B78&gt;=1,"✅ MATURE",IF(B78&gt;=0.5,"🔄 DEVELOPING","⏳ DORMANT"))</f>
        <v>✅ MATURE</v>
      </c>
      <c r="D79" s="1"/>
    </row>
    <row r="81" spans="1:6" ht="15.75">
      <c r="A81" s="322" t="s">
        <v>659</v>
      </c>
      <c r="B81" s="321"/>
      <c r="C81" s="321"/>
      <c r="D81" s="321"/>
      <c r="E81" s="321"/>
      <c r="F81" s="321"/>
    </row>
    <row r="83" spans="1:6">
      <c r="A83" s="1" t="s">
        <v>660</v>
      </c>
      <c r="B83">
        <f>B61*B73</f>
        <v>0.39191999999999999</v>
      </c>
      <c r="C83" t="s">
        <v>661</v>
      </c>
      <c r="D83" s="1" t="s">
        <v>662</v>
      </c>
      <c r="E83" t="str">
        <f>IF(AND(B66&gt;=0.5,B78&gt;=0.5),"🟢 SYNCHRONIZED","🟡 SYNCING")</f>
        <v>🟢 SYNCHRONIZED</v>
      </c>
    </row>
    <row r="84" spans="1:6">
      <c r="A84" s="1" t="s">
        <v>663</v>
      </c>
      <c r="B84">
        <f>B61*B74</f>
        <v>4.9680000000000016E-2</v>
      </c>
      <c r="C84" t="s">
        <v>664</v>
      </c>
      <c r="D84" s="1" t="s">
        <v>665</v>
      </c>
      <c r="E84" t="str">
        <f>IF(B77/B61&gt;0.8,"🟢 OPTIMAL",IF(B77/B61&gt;0.5,"🟡 ADEQUATE","🔴 LOW"))</f>
        <v>🟢 OPTIMAL</v>
      </c>
    </row>
    <row r="86" spans="1:6" ht="18.75">
      <c r="A86" s="323" t="s">
        <v>666</v>
      </c>
      <c r="B86" s="324"/>
      <c r="C86" s="324"/>
      <c r="D86" s="324"/>
      <c r="E86" s="324"/>
      <c r="F86" s="324"/>
    </row>
    <row r="87" spans="1:6" ht="15.75">
      <c r="A87" s="325"/>
      <c r="B87" s="325"/>
      <c r="C87" s="325"/>
      <c r="D87" s="325"/>
      <c r="E87" s="325"/>
      <c r="F87" s="325"/>
    </row>
    <row r="88" spans="1:6" ht="15.75">
      <c r="A88" s="186" t="s">
        <v>667</v>
      </c>
      <c r="B88" s="26">
        <f>'Infant Development'!B7</f>
        <v>10</v>
      </c>
      <c r="C88" s="26" t="s">
        <v>668</v>
      </c>
      <c r="D88" s="26"/>
      <c r="E88" s="26"/>
      <c r="F88" s="26"/>
    </row>
    <row r="89" spans="1:6">
      <c r="A89" s="1" t="s">
        <v>669</v>
      </c>
      <c r="B89" s="73" t="s">
        <v>592</v>
      </c>
      <c r="C89" s="1"/>
      <c r="D89" s="1" t="s">
        <v>669</v>
      </c>
      <c r="E89" s="1" t="s">
        <v>592</v>
      </c>
    </row>
    <row r="90" spans="1:6">
      <c r="A90" s="326" t="s">
        <v>670</v>
      </c>
      <c r="B90" s="326"/>
      <c r="C90" s="326"/>
      <c r="D90" s="326"/>
      <c r="E90" s="326"/>
      <c r="F90" s="326"/>
    </row>
    <row r="91" spans="1:6">
      <c r="A91" s="1" t="s">
        <v>671</v>
      </c>
      <c r="B91" s="11" t="str">
        <f>'Adolescent Development'!B9</f>
        <v>👶 Infant</v>
      </c>
      <c r="D91" t="s">
        <v>672</v>
      </c>
      <c r="E91" t="str">
        <f>'Adolescent Development'!G7&amp;"%"</f>
        <v>0%</v>
      </c>
    </row>
    <row r="92" spans="1:6">
      <c r="A92" s="167" t="s">
        <v>673</v>
      </c>
      <c r="B92" s="168" t="str">
        <f>'Adolescent Development'!B10</f>
        <v>⏳ Pre-Puberty</v>
      </c>
      <c r="D92" t="s">
        <v>674</v>
      </c>
      <c r="E92" t="str">
        <f>'Adolescent Development'!G6&amp;"%"</f>
        <v>20%</v>
      </c>
    </row>
    <row r="93" spans="1:6">
      <c r="A93" s="1" t="s">
        <v>675</v>
      </c>
      <c r="B93" s="11" t="str">
        <f>'Adolescent Development'!B61</f>
        <v>0 of 5</v>
      </c>
      <c r="D93" t="s">
        <v>676</v>
      </c>
      <c r="E93" t="str">
        <f>'Adolescent Development'!G14&amp;"%"</f>
        <v>12%</v>
      </c>
    </row>
    <row r="94" spans="1:6">
      <c r="A94" s="1" t="s">
        <v>677</v>
      </c>
      <c r="B94" s="11" t="str">
        <f>'Adolescent Development'!B60</f>
        <v>0 of 10</v>
      </c>
      <c r="D94" t="s">
        <v>678</v>
      </c>
      <c r="E94" t="str">
        <f>'Adolescent Development'!B63</f>
        <v>🧒 Pre-Adolescent</v>
      </c>
    </row>
    <row r="95" spans="1:6" ht="15.75">
      <c r="A95" s="327" t="s">
        <v>679</v>
      </c>
      <c r="B95" s="328"/>
      <c r="C95" s="329"/>
      <c r="D95" s="329"/>
      <c r="E95" s="329"/>
      <c r="F95" s="329"/>
    </row>
    <row r="96" spans="1:6">
      <c r="A96" s="1" t="s">
        <v>680</v>
      </c>
      <c r="B96" s="11">
        <f>'Cognition &amp; Language'!G8</f>
        <v>0.54166666666666674</v>
      </c>
    </row>
    <row r="97" spans="1:6">
      <c r="A97" t="s">
        <v>681</v>
      </c>
      <c r="B97">
        <f>'Cognition &amp; Language'!G9</f>
        <v>58.333333333333336</v>
      </c>
    </row>
    <row r="98" spans="1:6">
      <c r="A98" t="s">
        <v>682</v>
      </c>
      <c r="B98" s="11">
        <f>'Cognition &amp; Language'!G10</f>
        <v>0.37254901960784315</v>
      </c>
    </row>
    <row r="99" spans="1:6">
      <c r="A99" t="s">
        <v>683</v>
      </c>
      <c r="B99" s="11">
        <f>'Cognition &amp; Language'!B64</f>
        <v>0.49534313725490198</v>
      </c>
    </row>
    <row r="100" spans="1:6">
      <c r="A100" t="s">
        <v>684</v>
      </c>
      <c r="B100" t="str">
        <f>'Cognition &amp; Language'!B65</f>
        <v>🟢 Developing</v>
      </c>
    </row>
    <row r="101" spans="1:6" ht="18.75">
      <c r="A101" s="330" t="s">
        <v>685</v>
      </c>
      <c r="B101" s="321"/>
      <c r="C101" s="321"/>
      <c r="D101" s="321"/>
      <c r="E101" s="321"/>
      <c r="F101" s="321"/>
    </row>
    <row r="103" spans="1:6">
      <c r="A103" s="72" t="s">
        <v>686</v>
      </c>
      <c r="B103" s="72" t="s">
        <v>687</v>
      </c>
      <c r="C103" s="72" t="s">
        <v>688</v>
      </c>
      <c r="D103" s="72" t="s">
        <v>689</v>
      </c>
      <c r="E103" s="72" t="s">
        <v>562</v>
      </c>
    </row>
    <row r="104" spans="1:6">
      <c r="A104" s="55" t="s">
        <v>690</v>
      </c>
      <c r="B104" s="55">
        <f>COUNTIF('Sensory Integration'!S:S,"Vision")</f>
        <v>3</v>
      </c>
      <c r="C104" s="56">
        <f>AVERAGEIF('Sensory Integration'!S:S,"Vision",'Sensory Integration'!L:L)</f>
        <v>1</v>
      </c>
      <c r="D104" s="57">
        <f>AVERAGEIF('Sensory Integration'!S:S,"Vision",'Sensory Integration'!R:R)</f>
        <v>1.7</v>
      </c>
      <c r="E104" s="55" t="str">
        <f>IF(C104&lt;0.3,"⏳ Dormant",IF(C104&lt;1,"🔄 Developing","✅ Mature"))</f>
        <v>✅ Mature</v>
      </c>
    </row>
    <row r="105" spans="1:6">
      <c r="A105" s="58" t="s">
        <v>691</v>
      </c>
      <c r="B105" s="58">
        <f>COUNTIF('Sensory Integration'!S:S,"Auditory")</f>
        <v>3</v>
      </c>
      <c r="C105" s="59">
        <f>AVERAGEIF('Sensory Integration'!S:S,"Auditory",'Sensory Integration'!L:L)</f>
        <v>1</v>
      </c>
      <c r="D105" s="60">
        <f>AVERAGEIF('Sensory Integration'!S:S,"Auditory",'Sensory Integration'!R:R)</f>
        <v>1.7</v>
      </c>
      <c r="E105" s="58" t="str">
        <f>IF(C105&lt;0.3,"⏳ Dormant",IF(C105&lt;1,"🔄 Developing","✅ Mature"))</f>
        <v>✅ Mature</v>
      </c>
    </row>
    <row r="106" spans="1:6">
      <c r="A106" s="61" t="s">
        <v>692</v>
      </c>
      <c r="B106" s="61">
        <f>COUNTIF('Sensory Integration'!S:S,"Touch")</f>
        <v>4</v>
      </c>
      <c r="C106" s="62">
        <f>AVERAGEIF('Sensory Integration'!S:S,"Touch",'Sensory Integration'!L:L)</f>
        <v>1</v>
      </c>
      <c r="D106" s="63">
        <f>AVERAGEIF('Sensory Integration'!S:S,"Touch",'Sensory Integration'!R:R)</f>
        <v>1.5500000000000003</v>
      </c>
      <c r="E106" s="61" t="str">
        <f>IF(C106&lt;0.3,"⏳ Dormant",IF(C106&lt;1,"🔄 Developing","✅ Mature"))</f>
        <v>✅ Mature</v>
      </c>
    </row>
    <row r="107" spans="1:6">
      <c r="A107" s="64" t="s">
        <v>693</v>
      </c>
      <c r="B107" s="64">
        <f>COUNTIF('Sensory Integration'!S:S,"Taste")</f>
        <v>2</v>
      </c>
      <c r="C107" s="65">
        <f>AVERAGEIF('Sensory Integration'!S:S,"Taste",'Sensory Integration'!L:L)</f>
        <v>1</v>
      </c>
      <c r="D107" s="66">
        <f>AVERAGEIF('Sensory Integration'!S:S,"Taste",'Sensory Integration'!R:R)</f>
        <v>1.65</v>
      </c>
      <c r="E107" s="64" t="str">
        <f>IF(C107&lt;0.3,"⏳ Dormant",IF(C107&lt;1,"🔄 Developing","✅ Mature"))</f>
        <v>✅ Mature</v>
      </c>
    </row>
    <row r="108" spans="1:6">
      <c r="A108" s="3" t="s">
        <v>694</v>
      </c>
      <c r="B108" s="3">
        <f>COUNTIF('Sensory Integration'!S:S,"Smell")</f>
        <v>2</v>
      </c>
      <c r="C108" s="67">
        <f>AVERAGEIF('Sensory Integration'!S:S,"Smell",'Sensory Integration'!L:L)</f>
        <v>1</v>
      </c>
      <c r="D108" s="68">
        <f>AVERAGEIF('Sensory Integration'!S:S,"Smell",'Sensory Integration'!R:R)</f>
        <v>1.55</v>
      </c>
      <c r="E108" s="3" t="str">
        <f>IF(C108&lt;0.3,"⏳ Dormant",IF(C108&lt;1,"🔄 Developing","✅ Mature"))</f>
        <v>✅ Mature</v>
      </c>
    </row>
    <row r="109" spans="1:6">
      <c r="A109" s="69" t="s">
        <v>695</v>
      </c>
      <c r="B109" s="69">
        <f>COUNTIF('Sensory Integration'!S:S,"Balance")</f>
        <v>1</v>
      </c>
      <c r="C109" s="70">
        <f>AVERAGEIF('Sensory Integration'!S:S,"Balance",'Sensory Integration'!L:L)</f>
        <v>1</v>
      </c>
      <c r="D109" s="71">
        <f>AVERAGEIF('Sensory Integration'!S:S,"Balance",'Sensory Integration'!R:R)</f>
        <v>1.7</v>
      </c>
      <c r="E109" s="69" t="str">
        <f>IF(C109&lt;0.3,"⏳ Dormant",IF(C109&lt;1,"🔄 Developing","✅ Mature"))</f>
        <v>✅ Mature</v>
      </c>
    </row>
    <row r="111" spans="1:6">
      <c r="A111" s="1" t="s">
        <v>696</v>
      </c>
      <c r="B111">
        <f>COUNTA('Sensory Integration'!A2:A16)</f>
        <v>15</v>
      </c>
    </row>
    <row r="112" spans="1:6">
      <c r="A112" s="1" t="s">
        <v>697</v>
      </c>
      <c r="B112" s="11">
        <f>AVERAGE('Sensory Integration'!L2:L16)</f>
        <v>1</v>
      </c>
    </row>
    <row r="113" spans="1:6">
      <c r="A113" s="1" t="s">
        <v>698</v>
      </c>
      <c r="B113" s="11">
        <f>AVERAGE('Sensory Integration'!R2:R16)/MAX('Sensory Integration'!R2:R16)</f>
        <v>0.90740740740740733</v>
      </c>
      <c r="D113" t="s">
        <v>699</v>
      </c>
    </row>
    <row r="114" spans="1:6">
      <c r="A114" s="1" t="s">
        <v>700</v>
      </c>
      <c r="B114" t="str">
        <f>IF(B112&lt;0.5,"⏳ DEVELOPING",IF(B112&lt;0.9,"🔄 MATURING","✅ INTEGRATED"))</f>
        <v>✅ INTEGRATED</v>
      </c>
    </row>
    <row r="117" spans="1:6" ht="18.75">
      <c r="A117" s="331" t="s">
        <v>701</v>
      </c>
      <c r="B117" s="321"/>
      <c r="C117" s="321"/>
      <c r="D117" s="321"/>
      <c r="E117" s="321"/>
      <c r="F117" s="321"/>
    </row>
    <row r="119" spans="1:6">
      <c r="A119" s="72" t="s">
        <v>702</v>
      </c>
      <c r="B119" s="72" t="s">
        <v>592</v>
      </c>
      <c r="C119" s="72" t="s">
        <v>593</v>
      </c>
      <c r="D119" s="72" t="s">
        <v>703</v>
      </c>
    </row>
    <row r="120" spans="1:6">
      <c r="A120" s="55" t="s">
        <v>704</v>
      </c>
      <c r="B120" s="56">
        <f>AVERAGEIF('Sensory Integration'!S:S,"Vision",'Sensory Integration'!R:R)*100</f>
        <v>170</v>
      </c>
      <c r="C120" s="55" t="s">
        <v>653</v>
      </c>
      <c r="D120" s="55" t="s">
        <v>705</v>
      </c>
    </row>
    <row r="121" spans="1:6">
      <c r="A121" s="58" t="s">
        <v>706</v>
      </c>
      <c r="B121" s="59">
        <f>AVERAGEIF('Sensory Integration'!S:S,"Auditory",'Sensory Integration'!R:R)*100</f>
        <v>170</v>
      </c>
      <c r="C121" s="58" t="s">
        <v>653</v>
      </c>
      <c r="D121" s="58" t="s">
        <v>707</v>
      </c>
    </row>
    <row r="122" spans="1:6">
      <c r="A122" s="61" t="s">
        <v>708</v>
      </c>
      <c r="B122" s="62">
        <f>AVERAGEIF('Sensory Integration'!S:S,"Touch",'Sensory Integration'!R:R)*100</f>
        <v>155.00000000000003</v>
      </c>
      <c r="C122" s="61" t="s">
        <v>653</v>
      </c>
      <c r="D122" s="61" t="s">
        <v>709</v>
      </c>
    </row>
    <row r="123" spans="1:6">
      <c r="A123" s="64" t="s">
        <v>710</v>
      </c>
      <c r="B123" s="65">
        <f>AVERAGEIF('Sensory Integration'!S:S,"Taste",'Sensory Integration'!R:R)*100</f>
        <v>165</v>
      </c>
      <c r="C123" s="64" t="s">
        <v>653</v>
      </c>
      <c r="D123" s="64" t="s">
        <v>711</v>
      </c>
    </row>
    <row r="124" spans="1:6">
      <c r="A124" s="3" t="s">
        <v>712</v>
      </c>
      <c r="B124" s="67">
        <f>AVERAGEIF('Sensory Integration'!S:S,"Smell",'Sensory Integration'!R:R)*100</f>
        <v>155</v>
      </c>
      <c r="C124" s="3" t="s">
        <v>653</v>
      </c>
      <c r="D124" s="3" t="s">
        <v>713</v>
      </c>
    </row>
    <row r="125" spans="1:6">
      <c r="A125" s="69" t="s">
        <v>714</v>
      </c>
      <c r="B125" s="70">
        <f>AVERAGEIF('Sensory Integration'!S:S,"Balance",'Sensory Integration'!R:R)*100</f>
        <v>170</v>
      </c>
      <c r="C125" s="69" t="s">
        <v>653</v>
      </c>
      <c r="D125" s="69" t="s">
        <v>715</v>
      </c>
    </row>
    <row r="127" spans="1:6">
      <c r="A127" t="s">
        <v>716</v>
      </c>
    </row>
    <row r="128" spans="1:6">
      <c r="A128" s="72"/>
      <c r="B128" s="72"/>
      <c r="C128" s="72"/>
      <c r="D128" s="72"/>
    </row>
    <row r="129" spans="1:6">
      <c r="A129" t="s">
        <v>717</v>
      </c>
      <c r="B129" t="s">
        <v>718</v>
      </c>
      <c r="C129" t="s">
        <v>719</v>
      </c>
      <c r="D129" t="s">
        <v>720</v>
      </c>
    </row>
    <row r="130" spans="1:6">
      <c r="A130" t="s">
        <v>721</v>
      </c>
      <c r="B130" t="s">
        <v>722</v>
      </c>
      <c r="C130" t="s">
        <v>485</v>
      </c>
      <c r="D130" t="str">
        <f>IF(AVERAGEIF('Sensory Integration'!S:S,"Vision",'Sensory Integration'!L:L)&gt;0.5,"🟢 CONNECTED","🟡 FORMING")</f>
        <v>🟢 CONNECTED</v>
      </c>
    </row>
    <row r="131" spans="1:6">
      <c r="A131" t="s">
        <v>723</v>
      </c>
      <c r="B131" t="s">
        <v>724</v>
      </c>
      <c r="C131" t="s">
        <v>485</v>
      </c>
      <c r="D131" t="str">
        <f>IF(AVERAGEIF('Sensory Integration'!S:S,"Auditory",'Sensory Integration'!L:L)&gt;0.5,"🟢 CONNECTED","🟡 FORMING")</f>
        <v>🟢 CONNECTED</v>
      </c>
    </row>
    <row r="132" spans="1:6">
      <c r="A132" t="s">
        <v>725</v>
      </c>
      <c r="B132" t="s">
        <v>293</v>
      </c>
      <c r="C132" t="s">
        <v>262</v>
      </c>
      <c r="D132" t="str">
        <f>IF(AVERAGEIF('Sensory Integration'!S:S,"Touch",'Sensory Integration'!L:L)&gt;0.5,"🟢 CONNECTED","🟡 FORMING")</f>
        <v>🟢 CONNECTED</v>
      </c>
    </row>
    <row r="133" spans="1:6">
      <c r="A133" t="s">
        <v>726</v>
      </c>
      <c r="B133" t="s">
        <v>305</v>
      </c>
      <c r="C133" t="s">
        <v>260</v>
      </c>
      <c r="D133" t="str">
        <f>IF(AVERAGEIF('Sensory Integration'!S:S,"Taste",'Sensory Integration'!L:L)&gt;0.5,"🟢 CONNECTED","🟡 FORMING")</f>
        <v>🟢 CONNECTED</v>
      </c>
    </row>
    <row r="134" spans="1:6">
      <c r="A134" t="s">
        <v>727</v>
      </c>
      <c r="B134" t="s">
        <v>728</v>
      </c>
      <c r="C134" t="s">
        <v>485</v>
      </c>
      <c r="D134" t="str">
        <f>IF(AVERAGEIF('Sensory Integration'!S:S,"Smell",'Sensory Integration'!L:L)&gt;0.5,"🟢 CONNECTED","🟡 FORMING")</f>
        <v>🟢 CONNECTED</v>
      </c>
    </row>
    <row r="135" spans="1:6">
      <c r="A135" t="s">
        <v>729</v>
      </c>
      <c r="B135" t="s">
        <v>730</v>
      </c>
      <c r="C135" t="s">
        <v>260</v>
      </c>
      <c r="D135" t="str">
        <f>IF(AVERAGEIF('Sensory Integration'!S:S,"Balance",'Sensory Integration'!L:L)&gt;0.5,"🟢 CONNECTED","🟡 FORMING")</f>
        <v>🟢 CONNECTED</v>
      </c>
    </row>
    <row r="137" spans="1:6">
      <c r="A137" s="332" t="s">
        <v>731</v>
      </c>
      <c r="B137" s="321"/>
      <c r="C137" s="321"/>
      <c r="D137" s="321"/>
      <c r="E137" s="321"/>
      <c r="F137" s="321"/>
    </row>
    <row r="139" spans="1:6">
      <c r="A139" s="1" t="s">
        <v>732</v>
      </c>
      <c r="B139" s="11">
        <f>AVERAGE(B119:B124)/100</f>
        <v>1.63</v>
      </c>
      <c r="D139" t="s">
        <v>733</v>
      </c>
    </row>
    <row r="140" spans="1:6">
      <c r="A140" s="1" t="s">
        <v>734</v>
      </c>
      <c r="B140" t="str">
        <f>IF(B139&gt;0.7,"🟢 UNIFIED",IF(B139&gt;0.4,"🟡 PARTIAL","🔴 FRAGMENTED"))</f>
        <v>🟢 UNIFIED</v>
      </c>
      <c r="D140" t="s">
        <v>735</v>
      </c>
    </row>
    <row r="141" spans="1:6">
      <c r="A141" s="1" t="s">
        <v>736</v>
      </c>
      <c r="B141" t="str">
        <f>IF(AND(B139&gt;0.6,'DNA Loop Engine'!B21&gt;0.5),"🟢 EMERGING","⏳ PRE-CONSCIOUS")</f>
        <v>🟢 EMERGING</v>
      </c>
      <c r="D141" t="s">
        <v>737</v>
      </c>
    </row>
  </sheetData>
  <mergeCells count="12">
    <mergeCell ref="A95:F95"/>
    <mergeCell ref="A101:F101"/>
    <mergeCell ref="A117:F117"/>
    <mergeCell ref="A137:F137"/>
    <mergeCell ref="A90:F90"/>
    <mergeCell ref="A1:B1"/>
    <mergeCell ref="A45:F45"/>
    <mergeCell ref="A57:F57"/>
    <mergeCell ref="A69:F69"/>
    <mergeCell ref="A81:F81"/>
    <mergeCell ref="A87:F87"/>
    <mergeCell ref="A86:F8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FEBD-EB42-4BBA-BB9F-77F5AC7A6200}">
  <dimension ref="A1:L11"/>
  <sheetViews>
    <sheetView topLeftCell="C1" workbookViewId="0">
      <selection activeCell="D25" sqref="D25"/>
    </sheetView>
  </sheetViews>
  <sheetFormatPr defaultRowHeight="15"/>
  <cols>
    <col min="1" max="1" width="17.7109375" bestFit="1" customWidth="1"/>
    <col min="2" max="2" width="21.28515625" bestFit="1" customWidth="1"/>
    <col min="3" max="3" width="17.140625" bestFit="1" customWidth="1"/>
    <col min="4" max="4" width="17.85546875" bestFit="1" customWidth="1"/>
    <col min="5" max="5" width="24.5703125" bestFit="1" customWidth="1"/>
    <col min="6" max="6" width="22.42578125" bestFit="1" customWidth="1"/>
    <col min="7" max="7" width="17.85546875" bestFit="1" customWidth="1"/>
    <col min="8" max="8" width="20.28515625" bestFit="1" customWidth="1"/>
    <col min="9" max="9" width="13.42578125" bestFit="1" customWidth="1"/>
    <col min="10" max="10" width="15.5703125" bestFit="1" customWidth="1"/>
    <col min="11" max="11" width="16" bestFit="1" customWidth="1"/>
    <col min="12" max="12" width="13" bestFit="1" customWidth="1"/>
  </cols>
  <sheetData>
    <row r="1" spans="1:12">
      <c r="A1" s="10" t="s">
        <v>41</v>
      </c>
      <c r="B1" s="10" t="s">
        <v>447</v>
      </c>
      <c r="C1" s="10" t="s">
        <v>448</v>
      </c>
      <c r="D1" s="10" t="s">
        <v>449</v>
      </c>
      <c r="E1" s="10" t="s">
        <v>450</v>
      </c>
      <c r="F1" s="10" t="s">
        <v>451</v>
      </c>
      <c r="G1" s="10" t="s">
        <v>452</v>
      </c>
      <c r="H1" s="10" t="s">
        <v>453</v>
      </c>
      <c r="I1" s="10" t="s">
        <v>47</v>
      </c>
      <c r="J1" s="10" t="s">
        <v>48</v>
      </c>
      <c r="K1" s="10" t="s">
        <v>49</v>
      </c>
      <c r="L1" s="10" t="s">
        <v>455</v>
      </c>
    </row>
    <row r="2" spans="1:12">
      <c r="A2" t="s">
        <v>225</v>
      </c>
      <c r="B2" t="s">
        <v>223</v>
      </c>
      <c r="C2" t="s">
        <v>494</v>
      </c>
      <c r="D2" t="s">
        <v>499</v>
      </c>
      <c r="E2" t="s">
        <v>496</v>
      </c>
      <c r="F2" t="s">
        <v>498</v>
      </c>
      <c r="G2">
        <v>8</v>
      </c>
      <c r="H2">
        <v>28</v>
      </c>
      <c r="I2" t="s">
        <v>65</v>
      </c>
      <c r="J2">
        <f>'DNA Loop Engine'!$B$5</f>
        <v>50</v>
      </c>
      <c r="K2" t="str">
        <f>IF(J2&lt;G2,"⏳ Dormant",IF(J2&gt;=H2,"✅ Mature","🔄 Developing"))</f>
        <v>✅ Mature</v>
      </c>
      <c r="L2" s="11">
        <f>IF(J2&lt;G2,0,IF(J2&gt;=H2,100%,(J2-G2)/(H2-G2)))</f>
        <v>1</v>
      </c>
    </row>
    <row r="3" spans="1:12">
      <c r="A3" t="s">
        <v>286</v>
      </c>
      <c r="B3" t="s">
        <v>223</v>
      </c>
      <c r="C3" t="s">
        <v>494</v>
      </c>
      <c r="D3" t="s">
        <v>738</v>
      </c>
      <c r="E3" t="s">
        <v>739</v>
      </c>
      <c r="F3" t="s">
        <v>477</v>
      </c>
      <c r="G3">
        <v>8</v>
      </c>
      <c r="H3">
        <v>28</v>
      </c>
      <c r="I3" t="s">
        <v>65</v>
      </c>
      <c r="J3">
        <f>'DNA Loop Engine'!$B$5</f>
        <v>50</v>
      </c>
      <c r="K3" t="str">
        <f>IF(J3&lt;G3,"⏳ Dormant",IF(J3&gt;=H3,"✅ Mature","🔄 Developing"))</f>
        <v>✅ Mature</v>
      </c>
      <c r="L3" s="11">
        <f>IF(J3&lt;G3,0,IF(J3&gt;=H3,100%,(J3-G3)/(H3-G3)))</f>
        <v>1</v>
      </c>
    </row>
    <row r="4" spans="1:12">
      <c r="A4" t="s">
        <v>288</v>
      </c>
      <c r="B4" t="s">
        <v>223</v>
      </c>
      <c r="C4" t="s">
        <v>494</v>
      </c>
      <c r="D4" t="s">
        <v>740</v>
      </c>
      <c r="E4" t="s">
        <v>496</v>
      </c>
      <c r="F4" t="s">
        <v>741</v>
      </c>
      <c r="G4">
        <v>8</v>
      </c>
      <c r="H4">
        <v>28</v>
      </c>
      <c r="I4" t="s">
        <v>65</v>
      </c>
      <c r="J4">
        <f>'DNA Loop Engine'!$B$5</f>
        <v>50</v>
      </c>
      <c r="K4" t="str">
        <f>IF(J4&lt;G4,"⏳ Dormant",IF(J4&gt;=H4,"✅ Mature","🔄 Developing"))</f>
        <v>✅ Mature</v>
      </c>
      <c r="L4" s="11">
        <f>IF(J4&lt;G4,0,IF(J4&gt;=H4,100%,(J4-G4)/(H4-G4)))</f>
        <v>1</v>
      </c>
    </row>
    <row r="5" spans="1:12">
      <c r="A5" t="s">
        <v>742</v>
      </c>
      <c r="B5" t="s">
        <v>223</v>
      </c>
      <c r="C5" t="s">
        <v>494</v>
      </c>
      <c r="D5" t="s">
        <v>743</v>
      </c>
      <c r="E5" t="s">
        <v>744</v>
      </c>
      <c r="F5" t="s">
        <v>745</v>
      </c>
      <c r="G5">
        <v>12</v>
      </c>
      <c r="H5">
        <v>28</v>
      </c>
      <c r="I5" t="s">
        <v>65</v>
      </c>
      <c r="J5">
        <f>'DNA Loop Engine'!$B$5</f>
        <v>50</v>
      </c>
      <c r="K5" t="str">
        <f>IF(J5&lt;G5,"⏳ Dormant",IF(J5&gt;=H5,"✅ Mature","🔄 Developing"))</f>
        <v>✅ Mature</v>
      </c>
      <c r="L5" s="11">
        <f>IF(J5&lt;G5,0,IF(J5&gt;=H5,100%,(J5-G5)/(H5-G5)))</f>
        <v>1</v>
      </c>
    </row>
    <row r="6" spans="1:12">
      <c r="A6" t="s">
        <v>746</v>
      </c>
      <c r="B6" t="s">
        <v>223</v>
      </c>
      <c r="C6" t="s">
        <v>494</v>
      </c>
      <c r="D6" t="s">
        <v>747</v>
      </c>
      <c r="E6" t="s">
        <v>744</v>
      </c>
      <c r="F6" t="s">
        <v>748</v>
      </c>
      <c r="G6">
        <v>12</v>
      </c>
      <c r="H6">
        <v>28</v>
      </c>
      <c r="I6" t="s">
        <v>65</v>
      </c>
      <c r="J6">
        <f>'DNA Loop Engine'!$B$5</f>
        <v>50</v>
      </c>
      <c r="K6" t="str">
        <f>IF(J6&lt;G6,"⏳ Dormant",IF(J6&gt;=H6,"✅ Mature","🔄 Developing"))</f>
        <v>✅ Mature</v>
      </c>
      <c r="L6" s="11">
        <f>IF(J6&lt;G6,0,IF(J6&gt;=H6,100%,(J6-G6)/(H6-G6)))</f>
        <v>1</v>
      </c>
    </row>
    <row r="7" spans="1:12">
      <c r="A7" t="s">
        <v>290</v>
      </c>
      <c r="B7" t="s">
        <v>309</v>
      </c>
      <c r="C7" t="s">
        <v>260</v>
      </c>
      <c r="D7" t="s">
        <v>749</v>
      </c>
      <c r="E7" t="s">
        <v>500</v>
      </c>
      <c r="F7" t="s">
        <v>477</v>
      </c>
      <c r="G7">
        <v>8</v>
      </c>
      <c r="H7">
        <v>28</v>
      </c>
      <c r="I7" t="s">
        <v>292</v>
      </c>
      <c r="J7">
        <f>'DNA Loop Engine'!$B$5</f>
        <v>50</v>
      </c>
      <c r="K7" t="str">
        <f>IF(J7&lt;G7,"⏳ Dormant",IF(J7&gt;=H7,"✅ Mature","🔄 Developing"))</f>
        <v>✅ Mature</v>
      </c>
      <c r="L7" s="11">
        <f>IF(J7&lt;G7,0,IF(J7&gt;=H7,100%,(J7-G7)/(H7-G7)))</f>
        <v>1</v>
      </c>
    </row>
    <row r="8" spans="1:12">
      <c r="A8" t="s">
        <v>750</v>
      </c>
      <c r="B8" t="s">
        <v>309</v>
      </c>
      <c r="C8" t="s">
        <v>260</v>
      </c>
      <c r="D8" t="s">
        <v>749</v>
      </c>
      <c r="E8" t="s">
        <v>751</v>
      </c>
      <c r="F8" t="s">
        <v>477</v>
      </c>
      <c r="G8">
        <v>8</v>
      </c>
      <c r="H8">
        <v>28</v>
      </c>
      <c r="I8" t="s">
        <v>292</v>
      </c>
      <c r="J8">
        <f>'DNA Loop Engine'!$B$5</f>
        <v>50</v>
      </c>
      <c r="K8" t="str">
        <f>IF(J8&lt;G8,"⏳ Dormant",IF(J8&gt;=H8,"✅ Mature","🔄 Developing"))</f>
        <v>✅ Mature</v>
      </c>
      <c r="L8" s="11">
        <f>IF(J8&lt;G8,0,IF(J8&gt;=H8,100%,(J8-G8)/(H8-G8)))</f>
        <v>1</v>
      </c>
    </row>
    <row r="9" spans="1:12">
      <c r="A9" t="s">
        <v>752</v>
      </c>
      <c r="B9" t="s">
        <v>223</v>
      </c>
      <c r="C9" t="s">
        <v>494</v>
      </c>
      <c r="D9" t="s">
        <v>753</v>
      </c>
      <c r="E9" t="s">
        <v>476</v>
      </c>
      <c r="F9" t="s">
        <v>754</v>
      </c>
      <c r="G9">
        <v>8</v>
      </c>
      <c r="H9">
        <v>28</v>
      </c>
      <c r="I9" t="s">
        <v>298</v>
      </c>
      <c r="J9">
        <f>'DNA Loop Engine'!$B$5</f>
        <v>50</v>
      </c>
      <c r="K9" t="str">
        <f>IF(J9&lt;G9,"⏳ Dormant",IF(J9&gt;=H9,"✅ Mature","🔄 Developing"))</f>
        <v>✅ Mature</v>
      </c>
      <c r="L9" s="11">
        <f>IF(J9&lt;G9,0,IF(J9&gt;=H9,100%,(J9-G9)/(H9-G9)))</f>
        <v>1</v>
      </c>
    </row>
    <row r="10" spans="1:12">
      <c r="A10" t="s">
        <v>755</v>
      </c>
      <c r="B10" t="s">
        <v>223</v>
      </c>
      <c r="C10" t="s">
        <v>494</v>
      </c>
      <c r="D10" t="s">
        <v>756</v>
      </c>
      <c r="E10" t="s">
        <v>757</v>
      </c>
      <c r="F10" t="s">
        <v>741</v>
      </c>
      <c r="G10">
        <v>8</v>
      </c>
      <c r="H10">
        <v>28</v>
      </c>
      <c r="I10" t="s">
        <v>298</v>
      </c>
      <c r="J10">
        <f>'DNA Loop Engine'!$B$5</f>
        <v>50</v>
      </c>
      <c r="K10" t="str">
        <f>IF(J10&lt;G10,"⏳ Dormant",IF(J10&gt;=H10,"✅ Mature","🔄 Developing"))</f>
        <v>✅ Mature</v>
      </c>
      <c r="L10" s="11">
        <f>IF(J10&lt;G10,0,IF(J10&gt;=H10,100%,(J10-G10)/(H10-G10)))</f>
        <v>1</v>
      </c>
    </row>
    <row r="11" spans="1:12">
      <c r="A11" t="s">
        <v>758</v>
      </c>
      <c r="B11" t="s">
        <v>223</v>
      </c>
      <c r="C11" t="s">
        <v>494</v>
      </c>
      <c r="D11" t="s">
        <v>759</v>
      </c>
      <c r="E11" t="s">
        <v>496</v>
      </c>
      <c r="F11" t="s">
        <v>760</v>
      </c>
      <c r="G11">
        <v>8</v>
      </c>
      <c r="H11">
        <v>28</v>
      </c>
      <c r="I11" t="s">
        <v>298</v>
      </c>
      <c r="J11">
        <f>'DNA Loop Engine'!$B$5</f>
        <v>50</v>
      </c>
      <c r="K11" t="str">
        <f>IF(J11&lt;G11,"⏳ Dormant",IF(J11&gt;=H11,"✅ Mature","🔄 Developing"))</f>
        <v>✅ Mature</v>
      </c>
      <c r="L11" s="11">
        <f>IF(J11&lt;G11,0,IF(J11&gt;=H11,100%,(J11-G11)/(H11-G11)))</f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DE9A-6387-476F-AAC2-6062A00076DD}">
  <dimension ref="A1:R55"/>
  <sheetViews>
    <sheetView workbookViewId="0"/>
  </sheetViews>
  <sheetFormatPr defaultRowHeight="15"/>
  <cols>
    <col min="1" max="1" width="43.42578125" bestFit="1" customWidth="1"/>
    <col min="2" max="2" width="21.28515625" bestFit="1" customWidth="1"/>
    <col min="3" max="3" width="17.140625" bestFit="1" customWidth="1"/>
    <col min="4" max="4" width="18.28515625" bestFit="1" customWidth="1"/>
    <col min="5" max="5" width="23.28515625" bestFit="1" customWidth="1"/>
    <col min="6" max="6" width="19.28515625" bestFit="1" customWidth="1"/>
    <col min="7" max="7" width="17.85546875" bestFit="1" customWidth="1"/>
    <col min="8" max="8" width="20.28515625" bestFit="1" customWidth="1"/>
    <col min="9" max="9" width="12.140625" bestFit="1" customWidth="1"/>
    <col min="10" max="10" width="15.5703125" bestFit="1" customWidth="1"/>
    <col min="11" max="11" width="16" bestFit="1" customWidth="1"/>
    <col min="12" max="12" width="13" bestFit="1" customWidth="1"/>
    <col min="13" max="14" width="9.28515625" bestFit="1" customWidth="1"/>
    <col min="16" max="17" width="16" bestFit="1" customWidth="1"/>
    <col min="18" max="18" width="18" bestFit="1" customWidth="1"/>
  </cols>
  <sheetData>
    <row r="1" spans="1:18">
      <c r="A1" s="39" t="s">
        <v>41</v>
      </c>
      <c r="B1" s="39" t="s">
        <v>447</v>
      </c>
      <c r="C1" s="39" t="s">
        <v>448</v>
      </c>
      <c r="D1" s="39" t="s">
        <v>449</v>
      </c>
      <c r="E1" s="39" t="s">
        <v>450</v>
      </c>
      <c r="F1" s="39" t="s">
        <v>451</v>
      </c>
      <c r="G1" s="39" t="s">
        <v>452</v>
      </c>
      <c r="H1" s="39" t="s">
        <v>453</v>
      </c>
      <c r="I1" s="39" t="s">
        <v>47</v>
      </c>
      <c r="J1" s="39" t="s">
        <v>48</v>
      </c>
      <c r="K1" s="39" t="s">
        <v>49</v>
      </c>
      <c r="L1" s="39" t="s">
        <v>455</v>
      </c>
      <c r="M1" s="39" t="s">
        <v>51</v>
      </c>
      <c r="N1" s="39" t="s">
        <v>52</v>
      </c>
      <c r="O1" s="39" t="s">
        <v>53</v>
      </c>
      <c r="P1" s="39" t="s">
        <v>761</v>
      </c>
      <c r="Q1" s="39" t="s">
        <v>762</v>
      </c>
      <c r="R1" s="39" t="s">
        <v>763</v>
      </c>
    </row>
    <row r="2" spans="1:18">
      <c r="A2" t="s">
        <v>222</v>
      </c>
      <c r="B2" t="s">
        <v>223</v>
      </c>
      <c r="C2" t="s">
        <v>494</v>
      </c>
      <c r="D2" t="s">
        <v>495</v>
      </c>
      <c r="E2" t="s">
        <v>496</v>
      </c>
      <c r="F2" t="s">
        <v>497</v>
      </c>
      <c r="G2">
        <v>8</v>
      </c>
      <c r="H2">
        <v>28</v>
      </c>
      <c r="I2" t="s">
        <v>65</v>
      </c>
      <c r="J2">
        <f>'DNA Loop Engine'!$B$5</f>
        <v>50</v>
      </c>
      <c r="K2" t="str">
        <f>IF(J2&lt;G2,"⏳ Pending",IF(J2&gt;=H2,"✅ Mature","🔄 Developing"))</f>
        <v>✅ Mature</v>
      </c>
      <c r="L2" s="11">
        <f>IF(J2&lt;G2,0%,IF(J2&gt;=H2,100%,(J2-G2)/(H2-G2)))</f>
        <v>1</v>
      </c>
      <c r="M2" s="13">
        <v>0</v>
      </c>
      <c r="N2" s="13">
        <v>0.35</v>
      </c>
      <c r="O2" s="13">
        <v>0.05</v>
      </c>
      <c r="P2" t="s">
        <v>146</v>
      </c>
      <c r="Q2" t="s">
        <v>764</v>
      </c>
      <c r="R2" s="13">
        <v>1</v>
      </c>
    </row>
    <row r="3" spans="1:18">
      <c r="A3" t="s">
        <v>765</v>
      </c>
      <c r="B3" t="s">
        <v>766</v>
      </c>
      <c r="C3" t="s">
        <v>494</v>
      </c>
      <c r="D3" t="s">
        <v>767</v>
      </c>
      <c r="E3" t="s">
        <v>739</v>
      </c>
      <c r="F3" t="s">
        <v>477</v>
      </c>
      <c r="G3">
        <v>8</v>
      </c>
      <c r="H3">
        <v>28</v>
      </c>
      <c r="I3" t="s">
        <v>65</v>
      </c>
      <c r="J3">
        <f>'DNA Loop Engine'!$B$5</f>
        <v>50</v>
      </c>
      <c r="K3" t="str">
        <f>IF(J3&lt;G3,"⏳ Pending",IF(J3&gt;=H3,"✅ Mature","🔄 Developing"))</f>
        <v>✅ Mature</v>
      </c>
      <c r="L3" s="11">
        <f>IF(J3&lt;G3,0%,IF(J3&gt;=H3,100%,(J3-G3)/(H3-G3)))</f>
        <v>1</v>
      </c>
      <c r="M3" s="13">
        <v>0</v>
      </c>
      <c r="N3" s="13">
        <v>0.4</v>
      </c>
      <c r="O3" s="13">
        <v>0.03</v>
      </c>
      <c r="P3" t="s">
        <v>222</v>
      </c>
      <c r="Q3" t="s">
        <v>768</v>
      </c>
      <c r="R3" s="13">
        <v>0.95</v>
      </c>
    </row>
    <row r="4" spans="1:18">
      <c r="A4" t="s">
        <v>769</v>
      </c>
      <c r="B4" t="s">
        <v>766</v>
      </c>
      <c r="C4" t="s">
        <v>494</v>
      </c>
      <c r="D4" t="s">
        <v>747</v>
      </c>
      <c r="E4" t="s">
        <v>496</v>
      </c>
      <c r="F4" t="s">
        <v>498</v>
      </c>
      <c r="G4">
        <v>8</v>
      </c>
      <c r="H4">
        <v>28</v>
      </c>
      <c r="I4" t="s">
        <v>65</v>
      </c>
      <c r="J4">
        <f>'DNA Loop Engine'!$B$5</f>
        <v>50</v>
      </c>
      <c r="K4" t="str">
        <f>IF(J4&lt;G4,"⏳ Pending",IF(J4&gt;=H4,"✅ Mature","🔄 Developing"))</f>
        <v>✅ Mature</v>
      </c>
      <c r="L4" s="11">
        <f>IF(J4&lt;G4,0%,IF(J4&gt;=H4,100%,(J4-G4)/(H4-G4)))</f>
        <v>1</v>
      </c>
      <c r="M4" s="13">
        <v>0</v>
      </c>
      <c r="N4" s="13">
        <v>0.38</v>
      </c>
      <c r="O4" s="13">
        <v>-0.02</v>
      </c>
      <c r="P4" t="s">
        <v>222</v>
      </c>
      <c r="Q4" t="s">
        <v>770</v>
      </c>
      <c r="R4" s="13">
        <v>0.9</v>
      </c>
    </row>
    <row r="5" spans="1:18">
      <c r="A5" t="s">
        <v>771</v>
      </c>
      <c r="B5" t="s">
        <v>766</v>
      </c>
      <c r="C5" t="s">
        <v>494</v>
      </c>
      <c r="D5" t="s">
        <v>772</v>
      </c>
      <c r="E5" t="s">
        <v>496</v>
      </c>
      <c r="F5" t="s">
        <v>498</v>
      </c>
      <c r="G5">
        <v>8</v>
      </c>
      <c r="H5">
        <v>28</v>
      </c>
      <c r="I5" t="s">
        <v>65</v>
      </c>
      <c r="J5">
        <f>'DNA Loop Engine'!$B$5</f>
        <v>50</v>
      </c>
      <c r="K5" t="str">
        <f>IF(J5&lt;G5,"⏳ Pending",IF(J5&gt;=H5,"✅ Mature","🔄 Developing"))</f>
        <v>✅ Mature</v>
      </c>
      <c r="L5" s="11">
        <f>IF(J5&lt;G5,0%,IF(J5&gt;=H5,100%,(J5-G5)/(H5-G5)))</f>
        <v>1</v>
      </c>
      <c r="M5" s="13">
        <v>0</v>
      </c>
      <c r="N5" s="13">
        <v>0.36</v>
      </c>
      <c r="O5" s="13">
        <v>-0.02</v>
      </c>
      <c r="P5" t="s">
        <v>225</v>
      </c>
      <c r="Q5" t="s">
        <v>773</v>
      </c>
      <c r="R5" s="13">
        <v>0.9</v>
      </c>
    </row>
    <row r="6" spans="1:18">
      <c r="A6" t="s">
        <v>774</v>
      </c>
      <c r="B6" t="s">
        <v>766</v>
      </c>
      <c r="C6" t="s">
        <v>494</v>
      </c>
      <c r="D6" t="s">
        <v>775</v>
      </c>
      <c r="E6" t="s">
        <v>739</v>
      </c>
      <c r="F6" t="s">
        <v>741</v>
      </c>
      <c r="G6">
        <v>8</v>
      </c>
      <c r="H6">
        <v>28</v>
      </c>
      <c r="I6" t="s">
        <v>65</v>
      </c>
      <c r="J6">
        <f>'DNA Loop Engine'!$B$5</f>
        <v>50</v>
      </c>
      <c r="K6" t="str">
        <f>IF(J6&lt;G6,"⏳ Pending",IF(J6&gt;=H6,"✅ Mature","🔄 Developing"))</f>
        <v>✅ Mature</v>
      </c>
      <c r="L6" s="11">
        <f>IF(J6&lt;G6,0%,IF(J6&gt;=H6,100%,(J6-G6)/(H6-G6)))</f>
        <v>1</v>
      </c>
      <c r="M6" s="13">
        <v>0</v>
      </c>
      <c r="N6" s="13">
        <v>0.3</v>
      </c>
      <c r="O6" s="13">
        <v>0</v>
      </c>
      <c r="P6" t="s">
        <v>222</v>
      </c>
      <c r="Q6" t="s">
        <v>776</v>
      </c>
      <c r="R6" s="13">
        <v>0.85</v>
      </c>
    </row>
    <row r="7" spans="1:18">
      <c r="A7" t="s">
        <v>777</v>
      </c>
      <c r="B7" t="s">
        <v>766</v>
      </c>
      <c r="C7" t="s">
        <v>494</v>
      </c>
      <c r="D7" t="s">
        <v>778</v>
      </c>
      <c r="E7" t="s">
        <v>739</v>
      </c>
      <c r="F7" t="s">
        <v>497</v>
      </c>
      <c r="G7">
        <v>8</v>
      </c>
      <c r="H7">
        <v>28</v>
      </c>
      <c r="I7" t="s">
        <v>65</v>
      </c>
      <c r="J7">
        <f>'DNA Loop Engine'!$B$5</f>
        <v>50</v>
      </c>
      <c r="K7" t="str">
        <f>IF(J7&lt;G7,"⏳ Pending",IF(J7&gt;=H7,"✅ Mature","🔄 Developing"))</f>
        <v>✅ Mature</v>
      </c>
      <c r="L7" s="11">
        <f>IF(J7&lt;G7,0%,IF(J7&gt;=H7,100%,(J7-G7)/(H7-G7)))</f>
        <v>1</v>
      </c>
      <c r="M7" s="13">
        <v>0.02</v>
      </c>
      <c r="N7" s="13">
        <v>0.36</v>
      </c>
      <c r="O7" s="13">
        <v>0.04</v>
      </c>
      <c r="P7" t="s">
        <v>765</v>
      </c>
      <c r="Q7" t="s">
        <v>779</v>
      </c>
      <c r="R7" s="13">
        <v>0.8</v>
      </c>
    </row>
    <row r="8" spans="1:18">
      <c r="A8" t="s">
        <v>780</v>
      </c>
      <c r="B8" t="s">
        <v>766</v>
      </c>
      <c r="C8" t="s">
        <v>494</v>
      </c>
      <c r="D8" t="s">
        <v>781</v>
      </c>
      <c r="E8" t="s">
        <v>744</v>
      </c>
      <c r="F8" t="s">
        <v>745</v>
      </c>
      <c r="G8">
        <v>12</v>
      </c>
      <c r="H8">
        <v>28</v>
      </c>
      <c r="I8" t="s">
        <v>65</v>
      </c>
      <c r="J8">
        <f>'DNA Loop Engine'!$B$5</f>
        <v>50</v>
      </c>
      <c r="K8" t="str">
        <f>IF(J8&lt;G8,"⏳ Pending",IF(J8&gt;=H8,"✅ Mature","🔄 Developing"))</f>
        <v>✅ Mature</v>
      </c>
      <c r="L8" s="11">
        <f>IF(J8&lt;G8,0%,IF(J8&gt;=H8,100%,(J8-G8)/(H8-G8)))</f>
        <v>1</v>
      </c>
      <c r="M8" s="13">
        <v>0</v>
      </c>
      <c r="N8" s="13">
        <v>0</v>
      </c>
      <c r="O8" s="13">
        <v>0</v>
      </c>
      <c r="P8" t="s">
        <v>782</v>
      </c>
      <c r="Q8" t="s">
        <v>783</v>
      </c>
      <c r="R8" s="13">
        <v>0.7</v>
      </c>
    </row>
    <row r="9" spans="1:18">
      <c r="A9" t="s">
        <v>784</v>
      </c>
      <c r="B9" t="s">
        <v>785</v>
      </c>
      <c r="C9" t="s">
        <v>494</v>
      </c>
      <c r="D9" t="s">
        <v>786</v>
      </c>
      <c r="E9" t="s">
        <v>787</v>
      </c>
      <c r="F9" t="s">
        <v>788</v>
      </c>
      <c r="G9">
        <v>12</v>
      </c>
      <c r="H9">
        <v>28</v>
      </c>
      <c r="I9" t="s">
        <v>65</v>
      </c>
      <c r="J9">
        <f>'DNA Loop Engine'!$B$5</f>
        <v>50</v>
      </c>
      <c r="K9" t="str">
        <f>IF(J9&lt;G9,"⏳ Pending",IF(J9&gt;=H9,"✅ Mature","🔄 Developing"))</f>
        <v>✅ Mature</v>
      </c>
      <c r="L9" s="11">
        <f>IF(J9&lt;G9,0%,IF(J9&gt;=H9,100%,(J9-G9)/(H9-G9)))</f>
        <v>1</v>
      </c>
      <c r="M9" s="13">
        <v>0</v>
      </c>
      <c r="N9" s="13">
        <v>0</v>
      </c>
      <c r="O9" s="13">
        <v>0</v>
      </c>
      <c r="P9" t="s">
        <v>789</v>
      </c>
      <c r="Q9" t="s">
        <v>790</v>
      </c>
      <c r="R9" s="13">
        <v>1</v>
      </c>
    </row>
    <row r="10" spans="1:18">
      <c r="A10" t="s">
        <v>791</v>
      </c>
      <c r="B10" t="s">
        <v>766</v>
      </c>
      <c r="C10" t="s">
        <v>494</v>
      </c>
      <c r="D10" t="s">
        <v>792</v>
      </c>
      <c r="E10" t="s">
        <v>739</v>
      </c>
      <c r="F10" t="s">
        <v>741</v>
      </c>
      <c r="G10">
        <v>8</v>
      </c>
      <c r="H10">
        <v>28</v>
      </c>
      <c r="I10" t="s">
        <v>65</v>
      </c>
      <c r="J10">
        <f>'DNA Loop Engine'!$B$5</f>
        <v>50</v>
      </c>
      <c r="K10" t="str">
        <f>IF(J10&lt;G10,"⏳ Pending",IF(J10&gt;=H10,"✅ Mature","🔄 Developing"))</f>
        <v>✅ Mature</v>
      </c>
      <c r="L10" s="11">
        <f>IF(J10&lt;G10,0%,IF(J10&gt;=H10,100%,(J10-G10)/(H10-G10)))</f>
        <v>1</v>
      </c>
      <c r="M10" s="13">
        <v>0</v>
      </c>
      <c r="N10" s="13">
        <v>0.45</v>
      </c>
      <c r="O10" s="13">
        <v>0</v>
      </c>
      <c r="P10" t="s">
        <v>222</v>
      </c>
      <c r="Q10" t="s">
        <v>793</v>
      </c>
      <c r="R10" s="13">
        <v>0.85</v>
      </c>
    </row>
    <row r="11" spans="1:18">
      <c r="A11" t="s">
        <v>794</v>
      </c>
      <c r="B11" t="s">
        <v>766</v>
      </c>
      <c r="C11" t="s">
        <v>494</v>
      </c>
      <c r="D11" t="s">
        <v>795</v>
      </c>
      <c r="E11" t="s">
        <v>739</v>
      </c>
      <c r="F11" t="s">
        <v>741</v>
      </c>
      <c r="G11">
        <v>8</v>
      </c>
      <c r="H11">
        <v>28</v>
      </c>
      <c r="I11" t="s">
        <v>65</v>
      </c>
      <c r="J11">
        <f>'DNA Loop Engine'!$B$5</f>
        <v>50</v>
      </c>
      <c r="K11" t="str">
        <f>IF(J11&lt;G11,"⏳ Pending",IF(J11&gt;=H11,"✅ Mature","🔄 Developing"))</f>
        <v>✅ Mature</v>
      </c>
      <c r="L11" s="11">
        <f>IF(J11&lt;G11,0%,IF(J11&gt;=H11,100%,(J11-G11)/(H11-G11)))</f>
        <v>1</v>
      </c>
      <c r="M11" s="13">
        <v>0</v>
      </c>
      <c r="N11" s="13">
        <v>0.2</v>
      </c>
      <c r="O11" s="13">
        <v>0</v>
      </c>
      <c r="P11" t="s">
        <v>222</v>
      </c>
      <c r="Q11" t="s">
        <v>796</v>
      </c>
      <c r="R11" s="13">
        <v>0.85</v>
      </c>
    </row>
    <row r="12" spans="1:18">
      <c r="A12" t="s">
        <v>797</v>
      </c>
      <c r="B12" t="s">
        <v>766</v>
      </c>
      <c r="C12" t="s">
        <v>494</v>
      </c>
      <c r="D12" t="s">
        <v>798</v>
      </c>
      <c r="E12" t="s">
        <v>739</v>
      </c>
      <c r="F12" t="s">
        <v>497</v>
      </c>
      <c r="G12">
        <v>8</v>
      </c>
      <c r="H12">
        <v>28</v>
      </c>
      <c r="I12" t="s">
        <v>65</v>
      </c>
      <c r="J12">
        <f>'DNA Loop Engine'!$B$5</f>
        <v>50</v>
      </c>
      <c r="K12" t="str">
        <f>IF(J12&lt;G12,"⏳ Pending",IF(J12&gt;=H12,"✅ Mature","🔄 Developing"))</f>
        <v>✅ Mature</v>
      </c>
      <c r="L12" s="11">
        <f>IF(J12&lt;G12,0%,IF(J12&gt;=H12,100%,(J12-G12)/(H12-G12)))</f>
        <v>1</v>
      </c>
      <c r="M12" s="13">
        <v>0.05</v>
      </c>
      <c r="N12" s="13">
        <v>0.6</v>
      </c>
      <c r="O12" s="13">
        <v>0.02</v>
      </c>
      <c r="P12" t="s">
        <v>765</v>
      </c>
      <c r="Q12" t="s">
        <v>799</v>
      </c>
      <c r="R12" s="13">
        <v>0.9</v>
      </c>
    </row>
    <row r="13" spans="1:18">
      <c r="A13" t="s">
        <v>800</v>
      </c>
      <c r="B13" t="s">
        <v>766</v>
      </c>
      <c r="C13" t="s">
        <v>494</v>
      </c>
      <c r="D13" t="s">
        <v>801</v>
      </c>
      <c r="E13" t="s">
        <v>739</v>
      </c>
      <c r="F13" t="s">
        <v>741</v>
      </c>
      <c r="G13">
        <v>8</v>
      </c>
      <c r="H13">
        <v>28</v>
      </c>
      <c r="I13" t="s">
        <v>65</v>
      </c>
      <c r="J13">
        <f>'DNA Loop Engine'!$B$5</f>
        <v>50</v>
      </c>
      <c r="K13" t="str">
        <f>IF(J13&lt;G13,"⏳ Pending",IF(J13&gt;=H13,"✅ Mature","🔄 Developing"))</f>
        <v>✅ Mature</v>
      </c>
      <c r="L13" s="11">
        <f>IF(J13&lt;G13,0%,IF(J13&gt;=H13,100%,(J13-G13)/(H13-G13)))</f>
        <v>1</v>
      </c>
      <c r="M13" s="13">
        <v>0.06</v>
      </c>
      <c r="N13" s="13">
        <v>0.55000000000000004</v>
      </c>
      <c r="O13" s="13">
        <v>0</v>
      </c>
      <c r="P13" t="s">
        <v>802</v>
      </c>
      <c r="Q13" t="s">
        <v>803</v>
      </c>
      <c r="R13" s="13">
        <v>0.85</v>
      </c>
    </row>
    <row r="14" spans="1:18">
      <c r="A14" t="s">
        <v>804</v>
      </c>
      <c r="B14" t="s">
        <v>766</v>
      </c>
      <c r="C14" t="s">
        <v>494</v>
      </c>
      <c r="D14" t="s">
        <v>805</v>
      </c>
      <c r="E14" t="s">
        <v>496</v>
      </c>
      <c r="F14" t="s">
        <v>498</v>
      </c>
      <c r="G14">
        <v>10</v>
      </c>
      <c r="H14">
        <v>28</v>
      </c>
      <c r="I14" t="s">
        <v>65</v>
      </c>
      <c r="J14">
        <f>'DNA Loop Engine'!$B$5</f>
        <v>50</v>
      </c>
      <c r="K14" t="str">
        <f>IF(J14&lt;G14,"⏳ Pending",IF(J14&gt;=H14,"✅ Mature","🔄 Developing"))</f>
        <v>✅ Mature</v>
      </c>
      <c r="L14" s="11">
        <f>IF(J14&lt;G14,0%,IF(J14&gt;=H14,100%,(J14-G14)/(H14-G14)))</f>
        <v>1</v>
      </c>
      <c r="M14" s="13">
        <v>0.08</v>
      </c>
      <c r="N14" s="13">
        <v>0.25</v>
      </c>
      <c r="O14" s="13">
        <v>0.05</v>
      </c>
      <c r="P14" t="s">
        <v>806</v>
      </c>
      <c r="Q14" t="s">
        <v>807</v>
      </c>
      <c r="R14" s="13">
        <v>0.8</v>
      </c>
    </row>
    <row r="15" spans="1:18">
      <c r="A15" t="s">
        <v>808</v>
      </c>
      <c r="B15" t="s">
        <v>766</v>
      </c>
      <c r="C15" t="s">
        <v>494</v>
      </c>
      <c r="D15" t="s">
        <v>809</v>
      </c>
      <c r="E15" t="s">
        <v>739</v>
      </c>
      <c r="F15" t="s">
        <v>741</v>
      </c>
      <c r="G15">
        <v>10</v>
      </c>
      <c r="H15">
        <v>28</v>
      </c>
      <c r="I15" t="s">
        <v>65</v>
      </c>
      <c r="J15">
        <f>'DNA Loop Engine'!$B$5</f>
        <v>50</v>
      </c>
      <c r="K15" t="str">
        <f>IF(J15&lt;G15,"⏳ Pending",IF(J15&gt;=H15,"✅ Mature","🔄 Developing"))</f>
        <v>✅ Mature</v>
      </c>
      <c r="L15" s="11">
        <f>IF(J15&lt;G15,0%,IF(J15&gt;=H15,100%,(J15-G15)/(H15-G15)))</f>
        <v>1</v>
      </c>
      <c r="M15" s="13">
        <v>0.1</v>
      </c>
      <c r="N15" s="13">
        <v>0.15</v>
      </c>
      <c r="O15" s="13">
        <v>0</v>
      </c>
      <c r="P15" t="s">
        <v>765</v>
      </c>
      <c r="Q15" t="s">
        <v>810</v>
      </c>
      <c r="R15" s="13">
        <v>0.85</v>
      </c>
    </row>
    <row r="16" spans="1:18">
      <c r="A16" t="s">
        <v>811</v>
      </c>
      <c r="B16" t="s">
        <v>766</v>
      </c>
      <c r="C16" t="s">
        <v>494</v>
      </c>
      <c r="D16" t="s">
        <v>812</v>
      </c>
      <c r="E16" t="s">
        <v>496</v>
      </c>
      <c r="F16" t="s">
        <v>498</v>
      </c>
      <c r="G16">
        <v>4</v>
      </c>
      <c r="H16">
        <v>40</v>
      </c>
      <c r="I16" t="s">
        <v>65</v>
      </c>
      <c r="J16">
        <f>'DNA Loop Engine'!$B$5</f>
        <v>50</v>
      </c>
      <c r="K16" t="str">
        <f>IF(J16&lt;G16,"⏳ Pending",IF(J16&gt;=H16,"✅ Mature","🔄 Developing"))</f>
        <v>✅ Mature</v>
      </c>
      <c r="L16" s="11">
        <f>IF(J16&lt;G16,0%,IF(J16&gt;=H16,100%,(J16-G16)/(H16-G16)))</f>
        <v>1</v>
      </c>
      <c r="M16" s="13">
        <v>0</v>
      </c>
      <c r="N16" s="13">
        <v>-0.1</v>
      </c>
      <c r="O16" s="13">
        <v>0</v>
      </c>
      <c r="P16" t="s">
        <v>813</v>
      </c>
      <c r="Q16" t="s">
        <v>814</v>
      </c>
      <c r="R16" s="13">
        <v>0.95</v>
      </c>
    </row>
    <row r="17" spans="1:18">
      <c r="A17" t="s">
        <v>815</v>
      </c>
      <c r="B17" t="s">
        <v>766</v>
      </c>
      <c r="C17" t="s">
        <v>494</v>
      </c>
      <c r="D17" t="s">
        <v>816</v>
      </c>
      <c r="E17" t="s">
        <v>496</v>
      </c>
      <c r="F17" t="s">
        <v>745</v>
      </c>
      <c r="G17">
        <v>4</v>
      </c>
      <c r="H17">
        <v>40</v>
      </c>
      <c r="I17" t="s">
        <v>65</v>
      </c>
      <c r="J17">
        <f>'DNA Loop Engine'!$B$5</f>
        <v>50</v>
      </c>
      <c r="K17" t="str">
        <f>IF(J17&lt;G17,"⏳ Pending",IF(J17&gt;=H17,"✅ Mature","🔄 Developing"))</f>
        <v>✅ Mature</v>
      </c>
      <c r="L17" s="11">
        <f>IF(J17&lt;G17,0%,IF(J17&gt;=H17,100%,(J17-G17)/(H17-G17)))</f>
        <v>1</v>
      </c>
      <c r="M17" s="13">
        <v>0</v>
      </c>
      <c r="N17" s="13">
        <v>-0.1</v>
      </c>
      <c r="O17" s="13">
        <v>0.02</v>
      </c>
      <c r="P17" t="s">
        <v>813</v>
      </c>
      <c r="Q17" t="s">
        <v>817</v>
      </c>
      <c r="R17" s="13">
        <v>0.95</v>
      </c>
    </row>
    <row r="18" spans="1:18">
      <c r="A18" t="s">
        <v>818</v>
      </c>
      <c r="B18" t="s">
        <v>819</v>
      </c>
      <c r="C18" t="s">
        <v>494</v>
      </c>
      <c r="D18" t="s">
        <v>820</v>
      </c>
      <c r="E18" t="s">
        <v>744</v>
      </c>
      <c r="F18" t="s">
        <v>745</v>
      </c>
      <c r="G18">
        <v>6</v>
      </c>
      <c r="H18">
        <v>40</v>
      </c>
      <c r="I18" t="s">
        <v>65</v>
      </c>
      <c r="J18">
        <f>'DNA Loop Engine'!$B$5</f>
        <v>50</v>
      </c>
      <c r="K18" t="str">
        <f>IF(J18&lt;G18,"⏳ Pending",IF(J18&gt;=H18,"✅ Mature","🔄 Developing"))</f>
        <v>✅ Mature</v>
      </c>
      <c r="L18" s="11">
        <f>IF(J18&lt;G18,0%,IF(J18&gt;=H18,100%,(J18-G18)/(H18-G18)))</f>
        <v>1</v>
      </c>
      <c r="M18" s="13">
        <v>0</v>
      </c>
      <c r="N18" s="13">
        <v>0.38</v>
      </c>
      <c r="O18" s="13">
        <v>0</v>
      </c>
      <c r="P18" t="s">
        <v>821</v>
      </c>
      <c r="Q18" t="s">
        <v>822</v>
      </c>
      <c r="R18" s="13">
        <v>0.9</v>
      </c>
    </row>
    <row r="19" spans="1:18">
      <c r="A19" t="s">
        <v>823</v>
      </c>
      <c r="B19" t="s">
        <v>819</v>
      </c>
      <c r="C19" t="s">
        <v>494</v>
      </c>
      <c r="D19" t="s">
        <v>824</v>
      </c>
      <c r="E19" t="s">
        <v>744</v>
      </c>
      <c r="F19" t="s">
        <v>741</v>
      </c>
      <c r="G19">
        <v>6</v>
      </c>
      <c r="H19">
        <v>40</v>
      </c>
      <c r="I19" t="s">
        <v>65</v>
      </c>
      <c r="J19">
        <f>'DNA Loop Engine'!$B$5</f>
        <v>50</v>
      </c>
      <c r="K19" t="str">
        <f>IF(J19&lt;G19,"⏳ Pending",IF(J19&gt;=H19,"✅ Mature","🔄 Developing"))</f>
        <v>✅ Mature</v>
      </c>
      <c r="L19" s="11">
        <f>IF(J19&lt;G19,0%,IF(J19&gt;=H19,100%,(J19-G19)/(H19-G19)))</f>
        <v>1</v>
      </c>
      <c r="M19" s="13">
        <v>0</v>
      </c>
      <c r="N19" s="13">
        <v>0.35</v>
      </c>
      <c r="O19" s="13">
        <v>0.02</v>
      </c>
      <c r="P19" t="s">
        <v>825</v>
      </c>
      <c r="Q19" t="s">
        <v>826</v>
      </c>
      <c r="R19" s="13">
        <v>0.9</v>
      </c>
    </row>
    <row r="22" spans="1:18" ht="18.75">
      <c r="A22" s="44" t="s">
        <v>827</v>
      </c>
      <c r="B22" s="45"/>
      <c r="C22" s="45"/>
      <c r="D22" s="45"/>
      <c r="E22" s="45"/>
      <c r="F22" s="46"/>
    </row>
    <row r="23" spans="1:18">
      <c r="A23" s="40"/>
      <c r="B23" s="16"/>
      <c r="C23" s="16"/>
      <c r="D23" s="16"/>
      <c r="E23" s="16"/>
      <c r="F23" s="20"/>
    </row>
    <row r="24" spans="1:18">
      <c r="A24" s="41" t="s">
        <v>591</v>
      </c>
      <c r="B24" s="16" t="s">
        <v>592</v>
      </c>
      <c r="C24" s="16" t="s">
        <v>593</v>
      </c>
      <c r="D24" s="16"/>
      <c r="E24" s="48" t="s">
        <v>828</v>
      </c>
      <c r="F24" s="49"/>
    </row>
    <row r="25" spans="1:18">
      <c r="A25" s="41" t="s">
        <v>829</v>
      </c>
      <c r="B25" s="16">
        <f>COUNTA(CirculatorySystem[Name])</f>
        <v>18</v>
      </c>
      <c r="C25" s="16"/>
      <c r="D25" s="16"/>
      <c r="E25" s="48" t="s">
        <v>830</v>
      </c>
      <c r="F25" s="49" t="s">
        <v>831</v>
      </c>
    </row>
    <row r="26" spans="1:18">
      <c r="A26" s="41" t="s">
        <v>832</v>
      </c>
      <c r="B26" s="16">
        <f>COUNTIF(CirculatorySystem[Controlled Structure],"Vessel")</f>
        <v>14</v>
      </c>
      <c r="C26" s="16"/>
      <c r="D26" s="16"/>
      <c r="E26" s="48" t="s">
        <v>833</v>
      </c>
      <c r="F26" s="49" t="s">
        <v>834</v>
      </c>
    </row>
    <row r="27" spans="1:18">
      <c r="A27" s="41" t="s">
        <v>835</v>
      </c>
      <c r="B27" s="16">
        <f>COUNTIF(CirculatorySystem[Controlled Structure],"Organ")</f>
        <v>1</v>
      </c>
      <c r="C27" s="16"/>
      <c r="D27" s="16"/>
      <c r="E27" s="48" t="s">
        <v>836</v>
      </c>
      <c r="F27" s="49" t="s">
        <v>837</v>
      </c>
    </row>
    <row r="28" spans="1:18">
      <c r="A28" s="41" t="s">
        <v>838</v>
      </c>
      <c r="B28" s="16">
        <f>COUNTIF(CirculatorySystem[Controlled Structure],"Fetal Shunt")</f>
        <v>2</v>
      </c>
      <c r="C28" s="16"/>
      <c r="D28" s="16"/>
      <c r="E28" s="48" t="s">
        <v>839</v>
      </c>
      <c r="F28" s="49" t="s">
        <v>840</v>
      </c>
    </row>
    <row r="29" spans="1:18">
      <c r="A29" s="41" t="s">
        <v>841</v>
      </c>
      <c r="B29" s="16">
        <f>COUNTIF(CirculatorySystem[Controlled Structure],"Fluid")</f>
        <v>1</v>
      </c>
      <c r="C29" s="16"/>
      <c r="D29" s="16"/>
      <c r="E29" s="48" t="s">
        <v>842</v>
      </c>
      <c r="F29" s="49" t="s">
        <v>843</v>
      </c>
    </row>
    <row r="30" spans="1:18">
      <c r="A30" s="41"/>
      <c r="B30" s="16"/>
      <c r="C30" s="16"/>
      <c r="D30" s="16"/>
      <c r="E30" s="48"/>
      <c r="F30" s="49"/>
    </row>
    <row r="31" spans="1:18">
      <c r="A31" s="41" t="s">
        <v>844</v>
      </c>
      <c r="B31" s="16">
        <f>COUNTIF(CirculatorySystem[Growth Status],"⏳ Pending")</f>
        <v>0</v>
      </c>
      <c r="C31" s="16"/>
      <c r="D31" s="16"/>
      <c r="E31" s="16"/>
      <c r="F31" s="20"/>
    </row>
    <row r="32" spans="1:18">
      <c r="A32" s="41" t="s">
        <v>845</v>
      </c>
      <c r="B32" s="16">
        <f>COUNTIF(CirculatorySystem[Growth Status],"🔄 Developing")</f>
        <v>0</v>
      </c>
      <c r="C32" s="16"/>
      <c r="D32" s="16"/>
      <c r="E32" s="16"/>
      <c r="F32" s="20"/>
    </row>
    <row r="33" spans="1:6">
      <c r="A33" s="41" t="s">
        <v>846</v>
      </c>
      <c r="B33" s="16">
        <f>COUNTIF(CirculatorySystem[Growth Status],"✅ Mature")</f>
        <v>18</v>
      </c>
      <c r="C33" s="16"/>
      <c r="D33" s="16"/>
      <c r="E33" s="16"/>
      <c r="F33" s="20"/>
    </row>
    <row r="34" spans="1:6">
      <c r="A34" s="41"/>
      <c r="B34" s="16"/>
      <c r="C34" s="16"/>
      <c r="D34" s="16"/>
      <c r="E34" s="16"/>
      <c r="F34" s="20"/>
    </row>
    <row r="35" spans="1:6">
      <c r="A35" s="41" t="s">
        <v>847</v>
      </c>
      <c r="B35" s="16">
        <f>AVERAGE(CirculatorySystem[Maturity %])</f>
        <v>1</v>
      </c>
      <c r="C35" s="16" t="s">
        <v>653</v>
      </c>
      <c r="D35" s="16"/>
      <c r="E35" s="16"/>
      <c r="F35" s="20"/>
    </row>
    <row r="36" spans="1:6">
      <c r="A36" s="41"/>
      <c r="B36" s="42"/>
      <c r="C36" s="16"/>
      <c r="D36" s="16"/>
      <c r="E36" s="16"/>
      <c r="F36" s="20"/>
    </row>
    <row r="37" spans="1:6">
      <c r="A37" s="40" t="s">
        <v>848</v>
      </c>
      <c r="B37" s="16"/>
      <c r="C37" s="16"/>
      <c r="D37" s="16"/>
      <c r="E37" s="16"/>
      <c r="F37" s="20"/>
    </row>
    <row r="38" spans="1:6">
      <c r="A38" s="43"/>
      <c r="B38" s="16"/>
      <c r="C38" s="16"/>
      <c r="D38" s="16"/>
      <c r="E38" s="16"/>
      <c r="F38" s="20"/>
    </row>
    <row r="39" spans="1:6">
      <c r="A39" s="40" t="s">
        <v>849</v>
      </c>
      <c r="B39" s="16">
        <f>'DNA Loop Engine'!B59</f>
        <v>137.96153846153845</v>
      </c>
      <c r="C39" s="16" t="s">
        <v>627</v>
      </c>
      <c r="D39" s="16"/>
      <c r="E39" s="16" t="s">
        <v>850</v>
      </c>
      <c r="F39" s="20" t="str">
        <f>'DNA Loop Engine'!B67</f>
        <v>✅ MATURE</v>
      </c>
    </row>
    <row r="40" spans="1:6">
      <c r="A40" s="41" t="s">
        <v>851</v>
      </c>
      <c r="B40" s="16">
        <f>'DNA Loop Engine'!B60</f>
        <v>0.27600000000000002</v>
      </c>
      <c r="C40" s="16" t="s">
        <v>630</v>
      </c>
      <c r="D40" s="16"/>
      <c r="E40" s="16"/>
      <c r="F40" s="20"/>
    </row>
    <row r="41" spans="1:6">
      <c r="A41" s="41" t="s">
        <v>852</v>
      </c>
      <c r="B41" s="16">
        <f>'DNA Loop Engine'!B61</f>
        <v>0.55200000000000005</v>
      </c>
      <c r="C41" s="16" t="s">
        <v>630</v>
      </c>
      <c r="D41" s="16"/>
      <c r="E41" s="16"/>
      <c r="F41" s="20"/>
    </row>
    <row r="42" spans="1:6">
      <c r="A42" s="41" t="s">
        <v>853</v>
      </c>
      <c r="B42" s="16" t="str">
        <f>'DNA Loop Engine'!E65</f>
        <v>300 mL</v>
      </c>
      <c r="C42" s="16"/>
      <c r="D42" s="16"/>
      <c r="E42" s="16"/>
      <c r="F42" s="20"/>
    </row>
    <row r="43" spans="1:6">
      <c r="A43" s="41"/>
      <c r="B43" s="16"/>
      <c r="C43" s="16"/>
      <c r="D43" s="16"/>
      <c r="E43" s="16"/>
      <c r="F43" s="20"/>
    </row>
    <row r="44" spans="1:6">
      <c r="A44" s="40" t="s">
        <v>854</v>
      </c>
      <c r="B44" s="16"/>
      <c r="C44" s="16"/>
      <c r="D44" s="16"/>
      <c r="E44" s="16"/>
      <c r="F44" s="20"/>
    </row>
    <row r="45" spans="1:6">
      <c r="A45" s="43"/>
      <c r="B45" s="16"/>
      <c r="C45" s="16"/>
      <c r="D45" s="16"/>
      <c r="E45" s="16"/>
      <c r="F45" s="20"/>
    </row>
    <row r="46" spans="1:6">
      <c r="A46" s="40" t="s">
        <v>660</v>
      </c>
      <c r="B46" s="16">
        <f>'DNA Loop Engine'!B83</f>
        <v>0.39191999999999999</v>
      </c>
      <c r="C46" s="16" t="s">
        <v>661</v>
      </c>
      <c r="D46" s="16"/>
      <c r="E46" s="16"/>
      <c r="F46" s="20"/>
    </row>
    <row r="47" spans="1:6">
      <c r="A47" s="41" t="s">
        <v>663</v>
      </c>
      <c r="B47" s="16">
        <f>'DNA Loop Engine'!B84</f>
        <v>4.9680000000000016E-2</v>
      </c>
      <c r="C47" s="16" t="s">
        <v>664</v>
      </c>
      <c r="D47" s="16"/>
      <c r="E47" s="16"/>
      <c r="F47" s="20"/>
    </row>
    <row r="48" spans="1:6">
      <c r="A48" s="41" t="s">
        <v>662</v>
      </c>
      <c r="B48" s="16" t="str">
        <f>'DNA Loop Engine'!E83</f>
        <v>🟢 SYNCHRONIZED</v>
      </c>
      <c r="C48" s="16"/>
      <c r="D48" s="16"/>
      <c r="E48" s="16"/>
      <c r="F48" s="20"/>
    </row>
    <row r="49" spans="1:6">
      <c r="A49" s="41"/>
      <c r="B49" s="16"/>
      <c r="C49" s="16"/>
      <c r="D49" s="16"/>
      <c r="E49" s="16"/>
      <c r="F49" s="20"/>
    </row>
    <row r="50" spans="1:6">
      <c r="A50" s="40" t="s">
        <v>855</v>
      </c>
      <c r="B50" s="16"/>
      <c r="C50" s="16"/>
      <c r="D50" s="16"/>
      <c r="E50" s="16"/>
      <c r="F50" s="20"/>
    </row>
    <row r="51" spans="1:6">
      <c r="A51" s="43"/>
      <c r="B51" s="16"/>
      <c r="C51" s="16"/>
      <c r="D51" s="16"/>
      <c r="E51" s="16"/>
      <c r="F51" s="20"/>
    </row>
    <row r="52" spans="1:6">
      <c r="A52" s="40" t="s">
        <v>856</v>
      </c>
      <c r="B52" s="16" t="str">
        <f>IF('DNA Loop Engine'!B5&lt;40,"🔗 ACTIVE","❌ SEVERED")</f>
        <v>❌ SEVERED</v>
      </c>
      <c r="C52" s="16"/>
      <c r="D52" s="16"/>
      <c r="E52" s="16"/>
      <c r="F52" s="20"/>
    </row>
    <row r="53" spans="1:6">
      <c r="A53" s="41" t="s">
        <v>857</v>
      </c>
      <c r="B53" s="16" t="str">
        <f>IF('DNA Loop Engine'!B5&lt;40,"🔓 OPEN","🔒 CLOSING")</f>
        <v>🔒 CLOSING</v>
      </c>
      <c r="C53" s="16"/>
      <c r="D53" s="16"/>
      <c r="E53" s="16"/>
      <c r="F53" s="20"/>
    </row>
    <row r="54" spans="1:6">
      <c r="A54" s="47" t="s">
        <v>858</v>
      </c>
      <c r="B54" s="18" t="str">
        <f>IF('DNA Loop Engine'!B5&lt;40,"🔓 OPEN","🔒 CLOSING")</f>
        <v>🔒 CLOSING</v>
      </c>
      <c r="C54" s="18"/>
      <c r="D54" s="18"/>
      <c r="E54" s="18"/>
      <c r="F54" s="21"/>
    </row>
    <row r="55" spans="1:6">
      <c r="A55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BEAA-F623-4CBA-8EAC-9F6B93586E00}">
  <dimension ref="A1:R56"/>
  <sheetViews>
    <sheetView topLeftCell="A30" workbookViewId="0"/>
  </sheetViews>
  <sheetFormatPr defaultRowHeight="15"/>
  <cols>
    <col min="1" max="1" width="49.42578125" bestFit="1" customWidth="1"/>
    <col min="2" max="2" width="25.140625" bestFit="1" customWidth="1"/>
    <col min="3" max="3" width="17.140625" bestFit="1" customWidth="1"/>
    <col min="4" max="4" width="19.42578125" bestFit="1" customWidth="1"/>
    <col min="5" max="5" width="24.28515625" bestFit="1" customWidth="1"/>
    <col min="6" max="6" width="18.140625" bestFit="1" customWidth="1"/>
    <col min="7" max="7" width="17.85546875" bestFit="1" customWidth="1"/>
    <col min="8" max="8" width="20.28515625" bestFit="1" customWidth="1"/>
    <col min="9" max="9" width="12.140625" bestFit="1" customWidth="1"/>
    <col min="10" max="10" width="15.5703125" bestFit="1" customWidth="1"/>
    <col min="11" max="11" width="16" bestFit="1" customWidth="1"/>
    <col min="12" max="12" width="13" bestFit="1" customWidth="1"/>
    <col min="13" max="14" width="9.28515625" bestFit="1" customWidth="1"/>
    <col min="16" max="16" width="17.5703125" bestFit="1" customWidth="1"/>
    <col min="17" max="17" width="16" bestFit="1" customWidth="1"/>
    <col min="18" max="18" width="18" bestFit="1" customWidth="1"/>
  </cols>
  <sheetData>
    <row r="1" spans="1:18">
      <c r="A1" s="50" t="s">
        <v>41</v>
      </c>
      <c r="B1" s="50" t="s">
        <v>447</v>
      </c>
      <c r="C1" s="50" t="s">
        <v>448</v>
      </c>
      <c r="D1" s="50" t="s">
        <v>449</v>
      </c>
      <c r="E1" s="50" t="s">
        <v>450</v>
      </c>
      <c r="F1" s="50" t="s">
        <v>451</v>
      </c>
      <c r="G1" s="50" t="s">
        <v>452</v>
      </c>
      <c r="H1" s="50" t="s">
        <v>453</v>
      </c>
      <c r="I1" s="50" t="s">
        <v>47</v>
      </c>
      <c r="J1" s="50" t="s">
        <v>48</v>
      </c>
      <c r="K1" s="50" t="s">
        <v>49</v>
      </c>
      <c r="L1" s="50" t="s">
        <v>455</v>
      </c>
      <c r="M1" s="50" t="s">
        <v>51</v>
      </c>
      <c r="N1" s="50" t="s">
        <v>52</v>
      </c>
      <c r="O1" s="50" t="s">
        <v>53</v>
      </c>
      <c r="P1" s="50" t="s">
        <v>761</v>
      </c>
      <c r="Q1" s="50" t="s">
        <v>762</v>
      </c>
      <c r="R1" s="50" t="s">
        <v>763</v>
      </c>
    </row>
    <row r="2" spans="1:18">
      <c r="A2" t="s">
        <v>859</v>
      </c>
      <c r="B2" t="s">
        <v>223</v>
      </c>
      <c r="C2" t="s">
        <v>260</v>
      </c>
      <c r="D2" t="s">
        <v>474</v>
      </c>
      <c r="E2" t="s">
        <v>476</v>
      </c>
      <c r="F2" t="s">
        <v>860</v>
      </c>
      <c r="G2">
        <v>8</v>
      </c>
      <c r="H2">
        <v>28</v>
      </c>
      <c r="I2" t="s">
        <v>298</v>
      </c>
      <c r="J2">
        <f>'DNA Loop Engine'!$B$5</f>
        <v>50</v>
      </c>
      <c r="K2" t="str">
        <f>IF(J2&lt;G2,"⏳ Pending",IF(J2&gt;=H2,"✅ Mature","🔄 Developing"))</f>
        <v>✅ Mature</v>
      </c>
      <c r="L2" s="11">
        <f>IF(J2&lt;G2,0,IF(J2&gt;=H2,1,(J2-G2)/(H2-G2)))</f>
        <v>1</v>
      </c>
      <c r="M2">
        <v>0</v>
      </c>
      <c r="N2">
        <v>0.7</v>
      </c>
      <c r="O2">
        <v>0.12</v>
      </c>
      <c r="P2" t="s">
        <v>861</v>
      </c>
      <c r="Q2" t="s">
        <v>862</v>
      </c>
      <c r="R2">
        <v>0.9</v>
      </c>
    </row>
    <row r="3" spans="1:18">
      <c r="A3" t="s">
        <v>755</v>
      </c>
      <c r="B3" t="s">
        <v>223</v>
      </c>
      <c r="C3" t="s">
        <v>260</v>
      </c>
      <c r="D3" t="s">
        <v>474</v>
      </c>
      <c r="E3" t="s">
        <v>757</v>
      </c>
      <c r="F3" t="s">
        <v>741</v>
      </c>
      <c r="G3">
        <v>8</v>
      </c>
      <c r="H3">
        <v>28</v>
      </c>
      <c r="I3" t="s">
        <v>298</v>
      </c>
      <c r="J3">
        <f>'DNA Loop Engine'!$B$5</f>
        <v>50</v>
      </c>
      <c r="K3" t="str">
        <f>IF(J3&lt;G3,"⏳ Pending",IF(J3&gt;=H3,"✅ Mature","🔄 Developing"))</f>
        <v>✅ Mature</v>
      </c>
      <c r="L3" s="11">
        <f>IF(J3&lt;G3,0,IF(J3&gt;=H3,1,(J3-G3)/(H3-G3)))</f>
        <v>1</v>
      </c>
      <c r="M3">
        <v>0</v>
      </c>
      <c r="N3">
        <v>0.65</v>
      </c>
      <c r="O3">
        <v>0.08</v>
      </c>
      <c r="P3" t="s">
        <v>859</v>
      </c>
      <c r="Q3" t="s">
        <v>863</v>
      </c>
      <c r="R3">
        <v>0.85</v>
      </c>
    </row>
    <row r="4" spans="1:18">
      <c r="A4" t="s">
        <v>284</v>
      </c>
      <c r="B4" t="s">
        <v>223</v>
      </c>
      <c r="C4" t="s">
        <v>494</v>
      </c>
      <c r="D4" t="s">
        <v>864</v>
      </c>
      <c r="E4" t="s">
        <v>496</v>
      </c>
      <c r="F4" t="s">
        <v>477</v>
      </c>
      <c r="G4">
        <v>8</v>
      </c>
      <c r="H4">
        <v>28</v>
      </c>
      <c r="I4" t="s">
        <v>65</v>
      </c>
      <c r="J4">
        <f>'DNA Loop Engine'!$B$5</f>
        <v>50</v>
      </c>
      <c r="K4" t="str">
        <f>IF(J4&lt;G4,"⏳ Pending",IF(J4&gt;=H4,"✅ Mature","🔄 Developing"))</f>
        <v>✅ Mature</v>
      </c>
      <c r="L4" s="11">
        <f>IF(J4&lt;G4,0,IF(J4&gt;=H4,1,(J4-G4)/(H4-G4)))</f>
        <v>1</v>
      </c>
      <c r="M4">
        <v>0</v>
      </c>
      <c r="N4">
        <v>0.5</v>
      </c>
      <c r="O4">
        <v>0.02</v>
      </c>
      <c r="P4" t="s">
        <v>755</v>
      </c>
      <c r="Q4" t="s">
        <v>865</v>
      </c>
      <c r="R4">
        <v>0.8</v>
      </c>
    </row>
    <row r="5" spans="1:18">
      <c r="A5" t="s">
        <v>230</v>
      </c>
      <c r="B5" t="s">
        <v>223</v>
      </c>
      <c r="C5" t="s">
        <v>494</v>
      </c>
      <c r="D5" t="s">
        <v>866</v>
      </c>
      <c r="E5" t="s">
        <v>496</v>
      </c>
      <c r="F5" t="s">
        <v>867</v>
      </c>
      <c r="G5">
        <v>8</v>
      </c>
      <c r="H5">
        <v>28</v>
      </c>
      <c r="I5" t="s">
        <v>65</v>
      </c>
      <c r="J5">
        <f>'DNA Loop Engine'!$B$5</f>
        <v>50</v>
      </c>
      <c r="K5" t="str">
        <f>IF(J5&lt;G5,"⏳ Pending",IF(J5&gt;=H5,"✅ Mature","🔄 Developing"))</f>
        <v>✅ Mature</v>
      </c>
      <c r="L5" s="11">
        <f>IF(J5&lt;G5,0,IF(J5&gt;=H5,1,(J5-G5)/(H5-G5)))</f>
        <v>1</v>
      </c>
      <c r="M5">
        <v>0.05</v>
      </c>
      <c r="N5">
        <v>0.3</v>
      </c>
      <c r="O5">
        <v>0.05</v>
      </c>
      <c r="P5" t="s">
        <v>284</v>
      </c>
      <c r="Q5" t="s">
        <v>868</v>
      </c>
      <c r="R5">
        <v>0.85</v>
      </c>
    </row>
    <row r="6" spans="1:18">
      <c r="A6" t="s">
        <v>232</v>
      </c>
      <c r="B6" t="s">
        <v>223</v>
      </c>
      <c r="C6" t="s">
        <v>494</v>
      </c>
      <c r="D6" t="s">
        <v>864</v>
      </c>
      <c r="E6" t="s">
        <v>496</v>
      </c>
      <c r="F6" t="s">
        <v>869</v>
      </c>
      <c r="G6">
        <v>12</v>
      </c>
      <c r="H6">
        <v>28</v>
      </c>
      <c r="I6" t="s">
        <v>65</v>
      </c>
      <c r="J6">
        <f>'DNA Loop Engine'!$B$5</f>
        <v>50</v>
      </c>
      <c r="K6" t="str">
        <f>IF(J6&lt;G6,"⏳ Pending",IF(J6&gt;=H6,"✅ Mature","🔄 Developing"))</f>
        <v>✅ Mature</v>
      </c>
      <c r="L6" s="11">
        <f>IF(J6&lt;G6,0,IF(J6&gt;=H6,1,(J6-G6)/(H6-G6)))</f>
        <v>1</v>
      </c>
      <c r="M6">
        <v>0</v>
      </c>
      <c r="N6">
        <v>0.15</v>
      </c>
      <c r="O6">
        <v>0.05</v>
      </c>
      <c r="P6" t="s">
        <v>230</v>
      </c>
      <c r="Q6" t="s">
        <v>870</v>
      </c>
      <c r="R6">
        <v>0.9</v>
      </c>
    </row>
    <row r="7" spans="1:18">
      <c r="A7" t="s">
        <v>235</v>
      </c>
      <c r="B7" t="s">
        <v>223</v>
      </c>
      <c r="C7" t="s">
        <v>494</v>
      </c>
      <c r="D7" t="s">
        <v>871</v>
      </c>
      <c r="E7" t="s">
        <v>744</v>
      </c>
      <c r="F7" t="s">
        <v>741</v>
      </c>
      <c r="G7">
        <v>12</v>
      </c>
      <c r="H7">
        <v>28</v>
      </c>
      <c r="I7" t="s">
        <v>65</v>
      </c>
      <c r="J7">
        <f>'DNA Loop Engine'!$B$5</f>
        <v>50</v>
      </c>
      <c r="K7" t="str">
        <f>IF(J7&lt;G7,"⏳ Pending",IF(J7&gt;=H7,"✅ Mature","🔄 Developing"))</f>
        <v>✅ Mature</v>
      </c>
      <c r="L7" s="11">
        <f>IF(J7&lt;G7,0,IF(J7&gt;=H7,1,(J7-G7)/(H7-G7)))</f>
        <v>1</v>
      </c>
      <c r="M7">
        <v>0.08</v>
      </c>
      <c r="N7">
        <v>0.1</v>
      </c>
      <c r="O7">
        <v>0</v>
      </c>
      <c r="P7" t="s">
        <v>232</v>
      </c>
      <c r="Q7" t="s">
        <v>868</v>
      </c>
      <c r="R7">
        <v>0.75</v>
      </c>
    </row>
    <row r="8" spans="1:18">
      <c r="A8" t="s">
        <v>227</v>
      </c>
      <c r="B8" t="s">
        <v>223</v>
      </c>
      <c r="C8" t="s">
        <v>494</v>
      </c>
      <c r="D8" t="s">
        <v>872</v>
      </c>
      <c r="E8" t="s">
        <v>739</v>
      </c>
      <c r="F8" t="s">
        <v>873</v>
      </c>
      <c r="G8">
        <v>12</v>
      </c>
      <c r="H8">
        <v>28</v>
      </c>
      <c r="I8" t="s">
        <v>65</v>
      </c>
      <c r="J8">
        <f>'DNA Loop Engine'!$B$5</f>
        <v>50</v>
      </c>
      <c r="K8" t="str">
        <f>IF(J8&lt;G8,"⏳ Pending",IF(J8&gt;=H8,"✅ Mature","🔄 Developing"))</f>
        <v>✅ Mature</v>
      </c>
      <c r="L8" s="11">
        <f>IF(J8&lt;G8,0,IF(J8&gt;=H8,1,(J8-G8)/(H8-G8)))</f>
        <v>1</v>
      </c>
      <c r="M8">
        <v>0.1</v>
      </c>
      <c r="N8">
        <v>0.28000000000000003</v>
      </c>
      <c r="O8">
        <v>0.03</v>
      </c>
      <c r="P8" t="s">
        <v>804</v>
      </c>
      <c r="Q8" t="s">
        <v>874</v>
      </c>
      <c r="R8">
        <v>0.95</v>
      </c>
    </row>
    <row r="9" spans="1:18">
      <c r="A9" t="s">
        <v>239</v>
      </c>
      <c r="B9" t="s">
        <v>223</v>
      </c>
      <c r="C9" t="s">
        <v>494</v>
      </c>
      <c r="D9" t="s">
        <v>875</v>
      </c>
      <c r="E9" t="s">
        <v>496</v>
      </c>
      <c r="F9" t="s">
        <v>867</v>
      </c>
      <c r="G9">
        <v>12</v>
      </c>
      <c r="H9">
        <v>28</v>
      </c>
      <c r="I9" t="s">
        <v>65</v>
      </c>
      <c r="J9">
        <f>'DNA Loop Engine'!$B$5</f>
        <v>50</v>
      </c>
      <c r="K9" t="str">
        <f>IF(J9&lt;G9,"⏳ Pending",IF(J9&gt;=H9,"✅ Mature","🔄 Developing"))</f>
        <v>✅ Mature</v>
      </c>
      <c r="L9" s="11">
        <f>IF(J9&lt;G9,0,IF(J9&gt;=H9,1,(J9-G9)/(H9-G9)))</f>
        <v>1</v>
      </c>
      <c r="M9">
        <v>0.08</v>
      </c>
      <c r="N9">
        <v>0.26</v>
      </c>
      <c r="O9">
        <v>0.04</v>
      </c>
      <c r="P9" t="s">
        <v>227</v>
      </c>
      <c r="Q9" t="s">
        <v>876</v>
      </c>
      <c r="R9">
        <v>0.7</v>
      </c>
    </row>
    <row r="10" spans="1:18">
      <c r="A10" t="s">
        <v>237</v>
      </c>
      <c r="B10" t="s">
        <v>223</v>
      </c>
      <c r="C10" t="s">
        <v>494</v>
      </c>
      <c r="D10" t="s">
        <v>877</v>
      </c>
      <c r="E10" t="s">
        <v>739</v>
      </c>
      <c r="F10" t="s">
        <v>873</v>
      </c>
      <c r="G10">
        <v>12</v>
      </c>
      <c r="H10">
        <v>28</v>
      </c>
      <c r="I10" t="s">
        <v>65</v>
      </c>
      <c r="J10">
        <f>'DNA Loop Engine'!$B$5</f>
        <v>50</v>
      </c>
      <c r="K10" t="str">
        <f>IF(J10&lt;G10,"⏳ Pending",IF(J10&gt;=H10,"✅ Mature","🔄 Developing"))</f>
        <v>✅ Mature</v>
      </c>
      <c r="L10" s="11">
        <f>IF(J10&lt;G10,0,IF(J10&gt;=H10,1,(J10-G10)/(H10-G10)))</f>
        <v>1</v>
      </c>
      <c r="M10">
        <v>-0.05</v>
      </c>
      <c r="N10">
        <v>0.25</v>
      </c>
      <c r="O10">
        <v>0.02</v>
      </c>
      <c r="P10" t="s">
        <v>230</v>
      </c>
      <c r="Q10" t="s">
        <v>876</v>
      </c>
      <c r="R10">
        <v>0.85</v>
      </c>
    </row>
    <row r="11" spans="1:18">
      <c r="A11" t="s">
        <v>878</v>
      </c>
      <c r="B11" t="s">
        <v>223</v>
      </c>
      <c r="C11" t="s">
        <v>494</v>
      </c>
      <c r="D11" t="s">
        <v>879</v>
      </c>
      <c r="E11" t="s">
        <v>484</v>
      </c>
      <c r="F11" t="s">
        <v>741</v>
      </c>
      <c r="G11">
        <v>12</v>
      </c>
      <c r="H11">
        <v>28</v>
      </c>
      <c r="I11" t="s">
        <v>65</v>
      </c>
      <c r="J11">
        <f>'DNA Loop Engine'!$B$5</f>
        <v>50</v>
      </c>
      <c r="K11" t="str">
        <f>IF(J11&lt;G11,"⏳ Pending",IF(J11&gt;=H11,"✅ Mature","🔄 Developing"))</f>
        <v>✅ Mature</v>
      </c>
      <c r="L11" s="11">
        <f>IF(J11&lt;G11,0,IF(J11&gt;=H11,1,(J11-G11)/(H11-G11)))</f>
        <v>1</v>
      </c>
      <c r="M11">
        <v>0</v>
      </c>
      <c r="N11">
        <v>-0.15</v>
      </c>
      <c r="O11">
        <v>-0.05</v>
      </c>
      <c r="P11" t="s">
        <v>235</v>
      </c>
      <c r="Q11" t="s">
        <v>880</v>
      </c>
      <c r="R11">
        <v>0.6</v>
      </c>
    </row>
    <row r="14" spans="1:18" ht="18.75">
      <c r="A14" s="51" t="s">
        <v>881</v>
      </c>
    </row>
    <row r="16" spans="1:18">
      <c r="A16" s="1" t="s">
        <v>591</v>
      </c>
      <c r="B16" s="1" t="s">
        <v>592</v>
      </c>
      <c r="C16" s="1" t="s">
        <v>593</v>
      </c>
      <c r="E16" s="1" t="s">
        <v>828</v>
      </c>
    </row>
    <row r="17" spans="1:6">
      <c r="A17" t="s">
        <v>829</v>
      </c>
      <c r="B17">
        <f>COUNTA(DigestiveControl[Name])</f>
        <v>10</v>
      </c>
      <c r="E17" s="1" t="s">
        <v>830</v>
      </c>
      <c r="F17" s="1" t="s">
        <v>831</v>
      </c>
    </row>
    <row r="18" spans="1:6">
      <c r="A18" t="s">
        <v>835</v>
      </c>
      <c r="B18">
        <f>COUNTIF(DigestiveControl[Controlled Structure],"Organ")</f>
        <v>10</v>
      </c>
      <c r="E18" t="s">
        <v>833</v>
      </c>
      <c r="F18" t="s">
        <v>834</v>
      </c>
    </row>
    <row r="19" spans="1:6">
      <c r="E19" t="s">
        <v>882</v>
      </c>
      <c r="F19" t="s">
        <v>805</v>
      </c>
    </row>
    <row r="20" spans="1:6">
      <c r="A20" t="s">
        <v>844</v>
      </c>
      <c r="B20">
        <f>COUNTIF(DigestiveControl[Growth Status],"⏳ Pending")</f>
        <v>0</v>
      </c>
      <c r="E20" t="s">
        <v>836</v>
      </c>
      <c r="F20" t="s">
        <v>883</v>
      </c>
    </row>
    <row r="21" spans="1:6">
      <c r="A21" t="s">
        <v>845</v>
      </c>
      <c r="B21">
        <f>COUNTIF(DigestiveControl[Growth Status],"🔄 Developing")</f>
        <v>0</v>
      </c>
      <c r="E21" t="s">
        <v>839</v>
      </c>
      <c r="F21" t="s">
        <v>884</v>
      </c>
    </row>
    <row r="22" spans="1:6">
      <c r="A22" t="s">
        <v>846</v>
      </c>
      <c r="B22">
        <f>COUNTIF(DigestiveControl[Growth Status],"✅ Mature")</f>
        <v>10</v>
      </c>
      <c r="E22" t="s">
        <v>885</v>
      </c>
      <c r="F22" t="s">
        <v>886</v>
      </c>
    </row>
    <row r="24" spans="1:6">
      <c r="A24" t="s">
        <v>847</v>
      </c>
      <c r="B24" s="11">
        <f>AVERAGE(DigestiveControl[Maturity %])</f>
        <v>1</v>
      </c>
      <c r="C24" t="s">
        <v>653</v>
      </c>
    </row>
    <row r="27" spans="1:6" ht="18.75">
      <c r="A27" s="52" t="s">
        <v>887</v>
      </c>
    </row>
    <row r="29" spans="1:6">
      <c r="A29" s="1" t="s">
        <v>591</v>
      </c>
      <c r="B29" s="1" t="s">
        <v>592</v>
      </c>
      <c r="C29" s="1" t="s">
        <v>593</v>
      </c>
      <c r="D29" s="1"/>
      <c r="E29" s="1" t="s">
        <v>562</v>
      </c>
      <c r="F29" s="1" t="s">
        <v>888</v>
      </c>
    </row>
    <row r="30" spans="1:6">
      <c r="A30" t="s">
        <v>889</v>
      </c>
      <c r="B30">
        <f>20+('DNA Loop Engine'!B18*30)</f>
        <v>50</v>
      </c>
      <c r="C30" t="s">
        <v>890</v>
      </c>
      <c r="E30" t="s">
        <v>891</v>
      </c>
      <c r="F30" t="s">
        <v>892</v>
      </c>
    </row>
    <row r="31" spans="1:6">
      <c r="A31" t="s">
        <v>893</v>
      </c>
      <c r="B31">
        <f>'DNA Loop Engine'!B18*0.8</f>
        <v>0.8</v>
      </c>
      <c r="C31" t="s">
        <v>634</v>
      </c>
      <c r="E31" t="s">
        <v>894</v>
      </c>
      <c r="F31" t="str">
        <f>IF(B31&gt;0.5,"Active churning","Minimal activity")</f>
        <v>Active churning</v>
      </c>
    </row>
    <row r="32" spans="1:6">
      <c r="A32" t="s">
        <v>895</v>
      </c>
      <c r="B32" s="11">
        <f>AVERAGE(DigestiveControl[Maturity %])*0.95</f>
        <v>0.95</v>
      </c>
      <c r="C32" t="s">
        <v>653</v>
      </c>
    </row>
    <row r="33" spans="1:6">
      <c r="A33" t="s">
        <v>896</v>
      </c>
      <c r="B33">
        <f>AVERAGE(DigestiveControl[Maturity %])*0.9</f>
        <v>0.9</v>
      </c>
      <c r="C33" t="s">
        <v>634</v>
      </c>
      <c r="E33" t="s">
        <v>897</v>
      </c>
      <c r="F33" t="str">
        <f>IF(B33&gt;0.7,"Full secretion","Developing")</f>
        <v>Full secretion</v>
      </c>
    </row>
    <row r="34" spans="1:6">
      <c r="A34" t="s">
        <v>898</v>
      </c>
      <c r="B34">
        <f>INDEX(DigestiveControl[Maturity %],MATCH("Gallbladder",DigestiveControl[Name],0))*0.8</f>
        <v>0.8</v>
      </c>
      <c r="C34" t="s">
        <v>634</v>
      </c>
    </row>
    <row r="35" spans="1:6">
      <c r="A35" t="s">
        <v>899</v>
      </c>
      <c r="B35">
        <f>INDEX(DigestiveControl[Maturity %],MATCH("Liver",DigestiveControl[Name],0))</f>
        <v>1</v>
      </c>
      <c r="C35" t="s">
        <v>634</v>
      </c>
      <c r="E35" t="s">
        <v>900</v>
      </c>
      <c r="F35" t="str">
        <f>IF(B35&gt;0.7,"Metabolizing","Developing")</f>
        <v>Metabolizing</v>
      </c>
    </row>
    <row r="36" spans="1:6">
      <c r="A36" t="s">
        <v>901</v>
      </c>
      <c r="B36">
        <f>INDEX(DigestiveControl[Maturity %],MATCH("Rectum",DigestiveControl[Name],0))*0.5</f>
        <v>0.5</v>
      </c>
      <c r="C36" t="s">
        <v>634</v>
      </c>
    </row>
    <row r="38" spans="1:6">
      <c r="A38" t="s">
        <v>902</v>
      </c>
      <c r="B38" s="11">
        <f>AVERAGE(DigestiveControl[Maturity %])</f>
        <v>1</v>
      </c>
      <c r="C38" t="s">
        <v>653</v>
      </c>
    </row>
    <row r="39" spans="1:6">
      <c r="A39" t="s">
        <v>903</v>
      </c>
      <c r="B39" t="str">
        <f>IF(B38&lt;0.5,"⏳ IMMATURE",IF(B38&lt;1,"🔄 DEVELOPING","✅ MATURE"))</f>
        <v>✅ MATURE</v>
      </c>
    </row>
    <row r="42" spans="1:6" ht="18.75">
      <c r="A42" s="53" t="s">
        <v>904</v>
      </c>
    </row>
    <row r="44" spans="1:6">
      <c r="A44" s="1" t="s">
        <v>669</v>
      </c>
      <c r="B44" s="1" t="s">
        <v>592</v>
      </c>
      <c r="C44" s="1" t="s">
        <v>593</v>
      </c>
      <c r="D44" s="1"/>
      <c r="E44" s="1" t="s">
        <v>720</v>
      </c>
    </row>
    <row r="45" spans="1:6">
      <c r="A45" t="s">
        <v>905</v>
      </c>
      <c r="B45" s="6">
        <f>'DNA Loop Engine'!B24</f>
        <v>0</v>
      </c>
      <c r="C45" t="s">
        <v>634</v>
      </c>
      <c r="E45" t="str">
        <f>IF(B45&gt;0.5,"🟢 OPTIMAL","🟡 DEVELOPING")</f>
        <v>🟡 DEVELOPING</v>
      </c>
    </row>
    <row r="46" spans="1:6">
      <c r="A46" t="s">
        <v>906</v>
      </c>
      <c r="B46">
        <f>INDEX('Circulatory System'!R:R,MATCH("Hepatic Portal Vein",'Circulatory System'!A:A,0))*B45</f>
        <v>0</v>
      </c>
      <c r="C46" t="s">
        <v>634</v>
      </c>
    </row>
    <row r="47" spans="1:6">
      <c r="A47" t="s">
        <v>907</v>
      </c>
      <c r="B47">
        <f>B35*'DNA Loop Engine'!B18</f>
        <v>1</v>
      </c>
      <c r="C47" t="s">
        <v>634</v>
      </c>
      <c r="E47" t="str">
        <f>IF(B47&gt;0.3,"🟢 ACTIVE","🟡 MINIMAL")</f>
        <v>🟢 ACTIVE</v>
      </c>
    </row>
    <row r="48" spans="1:6">
      <c r="A48" t="s">
        <v>908</v>
      </c>
      <c r="B48" t="str">
        <f>IF(AND(B45&gt;0.5,B46&gt;0.5),"🟢 SYNCHRONIZED","🟡 DEVELOPING")</f>
        <v>🟡 DEVELOPING</v>
      </c>
    </row>
    <row r="51" spans="1:5" ht="18.75">
      <c r="A51" s="54" t="s">
        <v>909</v>
      </c>
    </row>
    <row r="53" spans="1:5">
      <c r="A53" s="1" t="s">
        <v>717</v>
      </c>
      <c r="B53" s="1" t="s">
        <v>562</v>
      </c>
      <c r="C53" s="1" t="s">
        <v>910</v>
      </c>
      <c r="D53" s="1"/>
      <c r="E53" s="1" t="s">
        <v>504</v>
      </c>
    </row>
    <row r="54" spans="1:5">
      <c r="A54" t="s">
        <v>911</v>
      </c>
      <c r="B54" t="str">
        <f>IF('DNA Loop Engine'!B5&lt;40,"🔗 ACTIVE","🔒 CLOSED")</f>
        <v>🔒 CLOSED</v>
      </c>
      <c r="C54">
        <f>'DNA Loop Engine'!B24*0.9</f>
        <v>0</v>
      </c>
      <c r="E54" t="s">
        <v>912</v>
      </c>
    </row>
    <row r="55" spans="1:5">
      <c r="A55" t="s">
        <v>913</v>
      </c>
      <c r="B55" t="str">
        <f>IF('DNA Loop Engine'!B5&lt;40,"🔗 ACTIVE","🔒 CLOSED")</f>
        <v>🔒 CLOSED</v>
      </c>
      <c r="C55">
        <f>'DNA Loop Engine'!B24*0.7</f>
        <v>0</v>
      </c>
      <c r="E55" t="s">
        <v>914</v>
      </c>
    </row>
    <row r="56" spans="1:5">
      <c r="A56" t="s">
        <v>915</v>
      </c>
      <c r="B56" t="str">
        <f>IF('DNA Loop Engine'!B5&gt;=40,"🍼 ORAL FEEDING READY","🔗 UMBILICAL DEPENDENT")</f>
        <v>🍼 ORAL FEEDING READY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D6B0B-EEAF-4CAC-B4D8-2901269B96CB}">
  <dimension ref="A1:S38"/>
  <sheetViews>
    <sheetView topLeftCell="A20" workbookViewId="0"/>
  </sheetViews>
  <sheetFormatPr defaultRowHeight="15"/>
  <cols>
    <col min="1" max="1" width="22.28515625" bestFit="1" customWidth="1"/>
    <col min="2" max="2" width="29" bestFit="1" customWidth="1"/>
    <col min="3" max="3" width="22.85546875" bestFit="1" customWidth="1"/>
    <col min="4" max="4" width="12.5703125" bestFit="1" customWidth="1"/>
    <col min="5" max="5" width="22.28515625" bestFit="1" customWidth="1"/>
    <col min="6" max="6" width="21.42578125" bestFit="1" customWidth="1"/>
    <col min="7" max="7" width="15.5703125" bestFit="1" customWidth="1"/>
    <col min="8" max="8" width="18" bestFit="1" customWidth="1"/>
    <col min="9" max="9" width="7.85546875" bestFit="1" customWidth="1"/>
    <col min="10" max="10" width="13.28515625" bestFit="1" customWidth="1"/>
    <col min="11" max="11" width="14" bestFit="1" customWidth="1"/>
    <col min="12" max="12" width="10.7109375" bestFit="1" customWidth="1"/>
    <col min="13" max="14" width="7" bestFit="1" customWidth="1"/>
    <col min="15" max="15" width="6.85546875" bestFit="1" customWidth="1"/>
    <col min="16" max="16" width="13.7109375" bestFit="1" customWidth="1"/>
    <col min="17" max="17" width="13.5703125" bestFit="1" customWidth="1"/>
    <col min="18" max="18" width="14.28515625" bestFit="1" customWidth="1"/>
    <col min="19" max="19" width="16.42578125" bestFit="1" customWidth="1"/>
  </cols>
  <sheetData>
    <row r="1" spans="1:19">
      <c r="A1" s="10" t="s">
        <v>41</v>
      </c>
      <c r="B1" s="10" t="s">
        <v>447</v>
      </c>
      <c r="C1" s="10" t="s">
        <v>448</v>
      </c>
      <c r="D1" s="10" t="s">
        <v>449</v>
      </c>
      <c r="E1" s="10" t="s">
        <v>450</v>
      </c>
      <c r="F1" s="10" t="s">
        <v>451</v>
      </c>
      <c r="G1" s="10" t="s">
        <v>452</v>
      </c>
      <c r="H1" s="10" t="s">
        <v>453</v>
      </c>
      <c r="I1" s="10" t="s">
        <v>47</v>
      </c>
      <c r="J1" s="10" t="s">
        <v>48</v>
      </c>
      <c r="K1" s="10" t="s">
        <v>49</v>
      </c>
      <c r="L1" s="10" t="s">
        <v>455</v>
      </c>
      <c r="M1" s="10" t="s">
        <v>51</v>
      </c>
      <c r="N1" s="10" t="s">
        <v>52</v>
      </c>
      <c r="O1" s="10" t="s">
        <v>53</v>
      </c>
      <c r="P1" s="10" t="s">
        <v>761</v>
      </c>
      <c r="Q1" s="10" t="s">
        <v>916</v>
      </c>
      <c r="R1" s="10" t="s">
        <v>689</v>
      </c>
      <c r="S1" s="10" t="s">
        <v>917</v>
      </c>
    </row>
    <row r="2" spans="1:19">
      <c r="A2" s="55" t="s">
        <v>296</v>
      </c>
      <c r="B2" s="55" t="s">
        <v>223</v>
      </c>
      <c r="C2" s="55" t="s">
        <v>485</v>
      </c>
      <c r="D2" s="55" t="s">
        <v>623</v>
      </c>
      <c r="E2" s="55" t="s">
        <v>488</v>
      </c>
      <c r="F2" s="55" t="s">
        <v>918</v>
      </c>
      <c r="G2" s="55">
        <v>20</v>
      </c>
      <c r="H2" s="55">
        <v>36</v>
      </c>
      <c r="I2" s="55" t="s">
        <v>298</v>
      </c>
      <c r="J2" s="55">
        <f>'DNA Loop Engine'!$B$5</f>
        <v>50</v>
      </c>
      <c r="K2" s="55" t="str">
        <f>IF(J2&lt;G2,"⏳ Dormant",IF(J2&gt;=H2,"✅ Mature","🔄 Developing"))</f>
        <v>✅ Mature</v>
      </c>
      <c r="L2" s="56">
        <f>IF(J2&lt;G2,0%,IF(J2&gt;=H2,100%,(J2-G2)/(H2-G2)))</f>
        <v>1</v>
      </c>
      <c r="M2" s="57">
        <v>0.03</v>
      </c>
      <c r="N2" s="57">
        <v>0.76</v>
      </c>
      <c r="O2" s="57">
        <v>0.1</v>
      </c>
      <c r="P2" s="55" t="s">
        <v>861</v>
      </c>
      <c r="Q2" s="57">
        <v>0.85</v>
      </c>
      <c r="R2" s="57">
        <f>Q2*(1+'DNA Loop Engine'!$B$18)</f>
        <v>1.7</v>
      </c>
      <c r="S2" s="55" t="s">
        <v>919</v>
      </c>
    </row>
    <row r="3" spans="1:19">
      <c r="A3" s="55" t="s">
        <v>722</v>
      </c>
      <c r="B3" s="55" t="s">
        <v>223</v>
      </c>
      <c r="C3" s="55" t="s">
        <v>485</v>
      </c>
      <c r="D3" s="55" t="s">
        <v>623</v>
      </c>
      <c r="E3" s="55" t="s">
        <v>488</v>
      </c>
      <c r="F3" s="55" t="s">
        <v>920</v>
      </c>
      <c r="G3" s="55">
        <v>20</v>
      </c>
      <c r="H3" s="55">
        <v>36</v>
      </c>
      <c r="I3" s="55" t="s">
        <v>298</v>
      </c>
      <c r="J3" s="55">
        <f>'DNA Loop Engine'!$B$5</f>
        <v>50</v>
      </c>
      <c r="K3" s="55" t="str">
        <f>IF(J3&lt;G3,"⏳ Dormant",IF(J3&gt;=H3,"✅ Mature","🔄 Developing"))</f>
        <v>✅ Mature</v>
      </c>
      <c r="L3" s="56">
        <f>IF(J3&lt;G3,0%,IF(J3&gt;=H3,100%,(J3-G3)/(H3-G3)))</f>
        <v>1</v>
      </c>
      <c r="M3" s="57">
        <v>0.03</v>
      </c>
      <c r="N3" s="57">
        <v>0.76</v>
      </c>
      <c r="O3" s="57">
        <v>0.11</v>
      </c>
      <c r="P3" s="55" t="s">
        <v>296</v>
      </c>
      <c r="Q3" s="57">
        <v>0.9</v>
      </c>
      <c r="R3" s="57">
        <f>Q3*(1+'DNA Loop Engine'!$B$18)</f>
        <v>1.8</v>
      </c>
      <c r="S3" s="55" t="s">
        <v>919</v>
      </c>
    </row>
    <row r="4" spans="1:19">
      <c r="A4" s="55" t="s">
        <v>921</v>
      </c>
      <c r="B4" s="55" t="s">
        <v>922</v>
      </c>
      <c r="C4" s="55" t="s">
        <v>485</v>
      </c>
      <c r="D4" s="55" t="s">
        <v>623</v>
      </c>
      <c r="E4" s="55" t="s">
        <v>488</v>
      </c>
      <c r="F4" s="55" t="s">
        <v>923</v>
      </c>
      <c r="G4" s="55">
        <v>20</v>
      </c>
      <c r="H4" s="55">
        <v>36</v>
      </c>
      <c r="I4" s="55" t="s">
        <v>298</v>
      </c>
      <c r="J4" s="55">
        <f>'DNA Loop Engine'!$B$5</f>
        <v>50</v>
      </c>
      <c r="K4" s="55" t="str">
        <f>IF(J4&lt;G4,"⏳ Dormant",IF(J4&gt;=H4,"✅ Mature","🔄 Developing"))</f>
        <v>✅ Mature</v>
      </c>
      <c r="L4" s="56">
        <f>IF(J4&lt;G4,0%,IF(J4&gt;=H4,100%,(J4-G4)/(H4-G4)))</f>
        <v>1</v>
      </c>
      <c r="M4" s="57">
        <v>0.02</v>
      </c>
      <c r="N4" s="57">
        <v>0.78</v>
      </c>
      <c r="O4" s="57">
        <v>0.05</v>
      </c>
      <c r="P4" s="55" t="s">
        <v>722</v>
      </c>
      <c r="Q4" s="57">
        <v>0.8</v>
      </c>
      <c r="R4" s="57">
        <f>Q4*(1+'DNA Loop Engine'!$B$18)</f>
        <v>1.6</v>
      </c>
      <c r="S4" s="55" t="s">
        <v>919</v>
      </c>
    </row>
    <row r="5" spans="1:19">
      <c r="A5" s="58" t="s">
        <v>300</v>
      </c>
      <c r="B5" s="58" t="s">
        <v>223</v>
      </c>
      <c r="C5" s="58" t="s">
        <v>260</v>
      </c>
      <c r="D5" s="58" t="s">
        <v>623</v>
      </c>
      <c r="E5" s="58" t="s">
        <v>924</v>
      </c>
      <c r="F5" s="58" t="s">
        <v>925</v>
      </c>
      <c r="G5" s="58">
        <v>20</v>
      </c>
      <c r="H5" s="58">
        <v>36</v>
      </c>
      <c r="I5" s="58" t="s">
        <v>298</v>
      </c>
      <c r="J5" s="58">
        <f>'DNA Loop Engine'!$B$5</f>
        <v>50</v>
      </c>
      <c r="K5" s="58" t="str">
        <f>IF(J5&lt;G5,"⏳ Dormant",IF(J5&gt;=H5,"✅ Mature","🔄 Developing"))</f>
        <v>✅ Mature</v>
      </c>
      <c r="L5" s="59">
        <f>IF(J5&lt;G5,0%,IF(J5&gt;=H5,100%,(J5-G5)/(H5-G5)))</f>
        <v>1</v>
      </c>
      <c r="M5" s="60">
        <v>0.12</v>
      </c>
      <c r="N5" s="60">
        <v>0.78</v>
      </c>
      <c r="O5" s="60">
        <v>-0.02</v>
      </c>
      <c r="P5" s="58" t="s">
        <v>861</v>
      </c>
      <c r="Q5" s="60">
        <v>0.85</v>
      </c>
      <c r="R5" s="60">
        <f>Q5*(1+'DNA Loop Engine'!$B$18)</f>
        <v>1.7</v>
      </c>
      <c r="S5" s="58" t="s">
        <v>926</v>
      </c>
    </row>
    <row r="6" spans="1:19">
      <c r="A6" s="58" t="s">
        <v>724</v>
      </c>
      <c r="B6" s="58" t="s">
        <v>223</v>
      </c>
      <c r="C6" s="58" t="s">
        <v>260</v>
      </c>
      <c r="D6" s="58" t="s">
        <v>623</v>
      </c>
      <c r="E6" s="58" t="s">
        <v>924</v>
      </c>
      <c r="F6" s="58" t="s">
        <v>927</v>
      </c>
      <c r="G6" s="58">
        <v>20</v>
      </c>
      <c r="H6" s="58">
        <v>36</v>
      </c>
      <c r="I6" s="58" t="s">
        <v>298</v>
      </c>
      <c r="J6" s="58">
        <f>'DNA Loop Engine'!$B$5</f>
        <v>50</v>
      </c>
      <c r="K6" s="58" t="str">
        <f>IF(J6&lt;G6,"⏳ Dormant",IF(J6&gt;=H6,"✅ Mature","🔄 Developing"))</f>
        <v>✅ Mature</v>
      </c>
      <c r="L6" s="59">
        <f>IF(J6&lt;G6,0%,IF(J6&gt;=H6,100%,(J6-G6)/(H6-G6)))</f>
        <v>1</v>
      </c>
      <c r="M6" s="60">
        <v>0.13</v>
      </c>
      <c r="N6" s="60">
        <v>0.78</v>
      </c>
      <c r="O6" s="60">
        <v>-0.03</v>
      </c>
      <c r="P6" s="58" t="s">
        <v>300</v>
      </c>
      <c r="Q6" s="60">
        <v>0.9</v>
      </c>
      <c r="R6" s="60">
        <f>Q6*(1+'DNA Loop Engine'!$B$18)</f>
        <v>1.8</v>
      </c>
      <c r="S6" s="58" t="s">
        <v>926</v>
      </c>
    </row>
    <row r="7" spans="1:19">
      <c r="A7" s="58" t="s">
        <v>928</v>
      </c>
      <c r="B7" s="58" t="s">
        <v>922</v>
      </c>
      <c r="C7" s="58" t="s">
        <v>485</v>
      </c>
      <c r="D7" s="58" t="s">
        <v>623</v>
      </c>
      <c r="E7" s="58" t="s">
        <v>924</v>
      </c>
      <c r="F7" s="58" t="s">
        <v>929</v>
      </c>
      <c r="G7" s="58">
        <v>20</v>
      </c>
      <c r="H7" s="58">
        <v>36</v>
      </c>
      <c r="I7" s="58" t="s">
        <v>298</v>
      </c>
      <c r="J7" s="58">
        <f>'DNA Loop Engine'!$B$5</f>
        <v>50</v>
      </c>
      <c r="K7" s="58" t="str">
        <f>IF(J7&lt;G7,"⏳ Dormant",IF(J7&gt;=H7,"✅ Mature","🔄 Developing"))</f>
        <v>✅ Mature</v>
      </c>
      <c r="L7" s="59">
        <f>IF(J7&lt;G7,0%,IF(J7&gt;=H7,100%,(J7-G7)/(H7-G7)))</f>
        <v>1</v>
      </c>
      <c r="M7" s="60">
        <v>0.1</v>
      </c>
      <c r="N7" s="60">
        <v>0.8</v>
      </c>
      <c r="O7" s="60">
        <v>-0.02</v>
      </c>
      <c r="P7" s="58" t="s">
        <v>724</v>
      </c>
      <c r="Q7" s="60">
        <v>0.8</v>
      </c>
      <c r="R7" s="60">
        <f>Q7*(1+'DNA Loop Engine'!$B$18)</f>
        <v>1.6</v>
      </c>
      <c r="S7" s="58" t="s">
        <v>926</v>
      </c>
    </row>
    <row r="8" spans="1:19">
      <c r="A8" s="61" t="s">
        <v>293</v>
      </c>
      <c r="B8" s="61" t="s">
        <v>223</v>
      </c>
      <c r="C8" s="61" t="s">
        <v>262</v>
      </c>
      <c r="D8" s="61" t="s">
        <v>623</v>
      </c>
      <c r="E8" s="61" t="s">
        <v>930</v>
      </c>
      <c r="F8" s="61" t="s">
        <v>931</v>
      </c>
      <c r="G8" s="61">
        <v>12</v>
      </c>
      <c r="H8" s="61">
        <v>36</v>
      </c>
      <c r="I8" s="61" t="s">
        <v>298</v>
      </c>
      <c r="J8" s="61">
        <f>'DNA Loop Engine'!$B$5</f>
        <v>50</v>
      </c>
      <c r="K8" s="61" t="str">
        <f>IF(J8&lt;G8,"⏳ Dormant",IF(J8&gt;=H8,"✅ Mature","🔄 Developing"))</f>
        <v>✅ Mature</v>
      </c>
      <c r="L8" s="62">
        <f>IF(J8&lt;G8,0%,IF(J8&gt;=H8,100%,(J8-G8)/(H8-G8)))</f>
        <v>1</v>
      </c>
      <c r="M8" s="63">
        <v>0</v>
      </c>
      <c r="N8" s="63">
        <v>0</v>
      </c>
      <c r="O8" s="63">
        <v>0</v>
      </c>
      <c r="P8" s="61" t="s">
        <v>932</v>
      </c>
      <c r="Q8" s="63">
        <v>0.75</v>
      </c>
      <c r="R8" s="63">
        <f>Q8*(1+'DNA Loop Engine'!$B$18)</f>
        <v>1.5</v>
      </c>
      <c r="S8" s="61" t="s">
        <v>933</v>
      </c>
    </row>
    <row r="9" spans="1:19">
      <c r="A9" s="61" t="s">
        <v>931</v>
      </c>
      <c r="B9" s="61" t="s">
        <v>934</v>
      </c>
      <c r="C9" s="61" t="s">
        <v>262</v>
      </c>
      <c r="D9" s="61" t="s">
        <v>623</v>
      </c>
      <c r="E9" s="61" t="s">
        <v>930</v>
      </c>
      <c r="F9" s="61" t="s">
        <v>935</v>
      </c>
      <c r="G9" s="61">
        <v>12</v>
      </c>
      <c r="H9" s="61">
        <v>36</v>
      </c>
      <c r="I9" s="61" t="s">
        <v>298</v>
      </c>
      <c r="J9" s="61">
        <f>'DNA Loop Engine'!$B$5</f>
        <v>50</v>
      </c>
      <c r="K9" s="61" t="str">
        <f>IF(J9&lt;G9,"⏳ Dormant",IF(J9&gt;=H9,"✅ Mature","🔄 Developing"))</f>
        <v>✅ Mature</v>
      </c>
      <c r="L9" s="62">
        <f>IF(J9&lt;G9,0%,IF(J9&gt;=H9,100%,(J9-G9)/(H9-G9)))</f>
        <v>1</v>
      </c>
      <c r="M9" s="63">
        <v>0</v>
      </c>
      <c r="N9" s="63">
        <v>0</v>
      </c>
      <c r="O9" s="63">
        <v>0.01</v>
      </c>
      <c r="P9" s="61" t="s">
        <v>293</v>
      </c>
      <c r="Q9" s="63">
        <v>0.85</v>
      </c>
      <c r="R9" s="63">
        <f>Q9*(1+'DNA Loop Engine'!$B$18)</f>
        <v>1.7</v>
      </c>
      <c r="S9" s="61" t="s">
        <v>933</v>
      </c>
    </row>
    <row r="10" spans="1:19">
      <c r="A10" s="61" t="s">
        <v>936</v>
      </c>
      <c r="B10" s="61" t="s">
        <v>934</v>
      </c>
      <c r="C10" s="61" t="s">
        <v>262</v>
      </c>
      <c r="D10" s="61" t="s">
        <v>623</v>
      </c>
      <c r="E10" s="61" t="s">
        <v>930</v>
      </c>
      <c r="F10" s="61" t="s">
        <v>754</v>
      </c>
      <c r="G10" s="61">
        <v>12</v>
      </c>
      <c r="H10" s="61">
        <v>36</v>
      </c>
      <c r="I10" s="61" t="s">
        <v>298</v>
      </c>
      <c r="J10" s="61">
        <f>'DNA Loop Engine'!$B$5</f>
        <v>50</v>
      </c>
      <c r="K10" s="61" t="str">
        <f>IF(J10&lt;G10,"⏳ Dormant",IF(J10&gt;=H10,"✅ Mature","🔄 Developing"))</f>
        <v>✅ Mature</v>
      </c>
      <c r="L10" s="62">
        <f>IF(J10&lt;G10,0%,IF(J10&gt;=H10,100%,(J10-G10)/(H10-G10)))</f>
        <v>1</v>
      </c>
      <c r="M10" s="63">
        <v>0</v>
      </c>
      <c r="N10" s="63">
        <v>0</v>
      </c>
      <c r="O10" s="63">
        <v>0.01</v>
      </c>
      <c r="P10" s="61" t="s">
        <v>293</v>
      </c>
      <c r="Q10" s="63">
        <v>0.8</v>
      </c>
      <c r="R10" s="63">
        <f>Q10*(1+'DNA Loop Engine'!$B$18)</f>
        <v>1.6</v>
      </c>
      <c r="S10" s="61" t="s">
        <v>933</v>
      </c>
    </row>
    <row r="11" spans="1:19">
      <c r="A11" s="61" t="s">
        <v>937</v>
      </c>
      <c r="B11" s="61" t="s">
        <v>934</v>
      </c>
      <c r="C11" s="61" t="s">
        <v>262</v>
      </c>
      <c r="D11" s="61" t="s">
        <v>623</v>
      </c>
      <c r="E11" s="61" t="s">
        <v>930</v>
      </c>
      <c r="F11" s="61" t="s">
        <v>938</v>
      </c>
      <c r="G11" s="61">
        <v>12</v>
      </c>
      <c r="H11" s="61">
        <v>36</v>
      </c>
      <c r="I11" s="61" t="s">
        <v>298</v>
      </c>
      <c r="J11" s="61">
        <f>'DNA Loop Engine'!$B$5</f>
        <v>50</v>
      </c>
      <c r="K11" s="61" t="str">
        <f>IF(J11&lt;G11,"⏳ Dormant",IF(J11&gt;=H11,"✅ Mature","🔄 Developing"))</f>
        <v>✅ Mature</v>
      </c>
      <c r="L11" s="62">
        <f>IF(J11&lt;G11,0%,IF(J11&gt;=H11,100%,(J11-G11)/(H11-G11)))</f>
        <v>1</v>
      </c>
      <c r="M11" s="63">
        <v>0</v>
      </c>
      <c r="N11" s="63">
        <v>0</v>
      </c>
      <c r="O11" s="63">
        <v>0.01</v>
      </c>
      <c r="P11" s="61" t="s">
        <v>293</v>
      </c>
      <c r="Q11" s="63">
        <v>0.7</v>
      </c>
      <c r="R11" s="63">
        <f>Q11*(1+'DNA Loop Engine'!$B$18)</f>
        <v>1.4</v>
      </c>
      <c r="S11" s="61" t="s">
        <v>933</v>
      </c>
    </row>
    <row r="12" spans="1:19">
      <c r="A12" s="64" t="s">
        <v>305</v>
      </c>
      <c r="B12" s="64" t="s">
        <v>223</v>
      </c>
      <c r="C12" s="64" t="s">
        <v>260</v>
      </c>
      <c r="D12" s="64" t="s">
        <v>623</v>
      </c>
      <c r="E12" s="64" t="s">
        <v>939</v>
      </c>
      <c r="F12" s="64" t="s">
        <v>940</v>
      </c>
      <c r="G12" s="64">
        <v>12</v>
      </c>
      <c r="H12" s="64">
        <v>36</v>
      </c>
      <c r="I12" s="64" t="s">
        <v>298</v>
      </c>
      <c r="J12" s="64">
        <f>'DNA Loop Engine'!$B$5</f>
        <v>50</v>
      </c>
      <c r="K12" s="64" t="str">
        <f>IF(J12&lt;G12,"⏳ Dormant",IF(J12&gt;=H12,"✅ Mature","🔄 Developing"))</f>
        <v>✅ Mature</v>
      </c>
      <c r="L12" s="65">
        <f>IF(J12&lt;G12,0%,IF(J12&gt;=H12,100%,(J12-G12)/(H12-G12)))</f>
        <v>1</v>
      </c>
      <c r="M12" s="66">
        <v>0</v>
      </c>
      <c r="N12" s="66">
        <v>0.68</v>
      </c>
      <c r="O12" s="66">
        <v>0.08</v>
      </c>
      <c r="P12" s="64" t="s">
        <v>859</v>
      </c>
      <c r="Q12" s="66">
        <v>0.8</v>
      </c>
      <c r="R12" s="66">
        <f>Q12*(1+'DNA Loop Engine'!$B$18)</f>
        <v>1.6</v>
      </c>
      <c r="S12" s="64" t="s">
        <v>941</v>
      </c>
    </row>
    <row r="13" spans="1:19">
      <c r="A13" s="64" t="s">
        <v>940</v>
      </c>
      <c r="B13" s="64" t="s">
        <v>934</v>
      </c>
      <c r="C13" s="64" t="s">
        <v>260</v>
      </c>
      <c r="D13" s="64" t="s">
        <v>623</v>
      </c>
      <c r="E13" s="64" t="s">
        <v>939</v>
      </c>
      <c r="F13" s="64" t="s">
        <v>867</v>
      </c>
      <c r="G13" s="64">
        <v>12</v>
      </c>
      <c r="H13" s="64">
        <v>36</v>
      </c>
      <c r="I13" s="64" t="s">
        <v>298</v>
      </c>
      <c r="J13" s="64">
        <f>'DNA Loop Engine'!$B$5</f>
        <v>50</v>
      </c>
      <c r="K13" s="64" t="str">
        <f>IF(J13&lt;G13,"⏳ Dormant",IF(J13&gt;=H13,"✅ Mature","🔄 Developing"))</f>
        <v>✅ Mature</v>
      </c>
      <c r="L13" s="65">
        <f>IF(J13&lt;G13,0%,IF(J13&gt;=H13,100%,(J13-G13)/(H13-G13)))</f>
        <v>1</v>
      </c>
      <c r="M13" s="66">
        <v>0</v>
      </c>
      <c r="N13" s="66">
        <v>0.68</v>
      </c>
      <c r="O13" s="66">
        <v>0.09</v>
      </c>
      <c r="P13" s="64" t="s">
        <v>305</v>
      </c>
      <c r="Q13" s="66">
        <v>0.85</v>
      </c>
      <c r="R13" s="66">
        <f>Q13*(1+'DNA Loop Engine'!$B$18)</f>
        <v>1.7</v>
      </c>
      <c r="S13" s="64" t="s">
        <v>941</v>
      </c>
    </row>
    <row r="14" spans="1:19">
      <c r="A14" s="3" t="s">
        <v>728</v>
      </c>
      <c r="B14" s="3" t="s">
        <v>223</v>
      </c>
      <c r="C14" s="3" t="s">
        <v>485</v>
      </c>
      <c r="D14" s="3" t="s">
        <v>623</v>
      </c>
      <c r="E14" s="3" t="s">
        <v>942</v>
      </c>
      <c r="F14" s="3" t="s">
        <v>943</v>
      </c>
      <c r="G14" s="3">
        <v>12</v>
      </c>
      <c r="H14" s="3">
        <v>36</v>
      </c>
      <c r="I14" s="3" t="s">
        <v>298</v>
      </c>
      <c r="J14" s="3">
        <f>'DNA Loop Engine'!$B$5</f>
        <v>50</v>
      </c>
      <c r="K14" s="3" t="str">
        <f>IF(J14&lt;G14,"⏳ Dormant",IF(J14&gt;=H14,"✅ Mature","🔄 Developing"))</f>
        <v>✅ Mature</v>
      </c>
      <c r="L14" s="67">
        <f>IF(J14&lt;G14,0%,IF(J14&gt;=H14,100%,(J14-G14)/(H14-G14)))</f>
        <v>1</v>
      </c>
      <c r="M14" s="68">
        <v>0</v>
      </c>
      <c r="N14" s="68">
        <v>0.82</v>
      </c>
      <c r="O14" s="68">
        <v>0.06</v>
      </c>
      <c r="P14" s="3" t="s">
        <v>752</v>
      </c>
      <c r="Q14" s="68">
        <v>0.75</v>
      </c>
      <c r="R14" s="68">
        <f>Q14*(1+'DNA Loop Engine'!$B$18)</f>
        <v>1.5</v>
      </c>
      <c r="S14" s="3" t="s">
        <v>944</v>
      </c>
    </row>
    <row r="15" spans="1:19">
      <c r="A15" s="3" t="s">
        <v>945</v>
      </c>
      <c r="B15" s="3" t="s">
        <v>922</v>
      </c>
      <c r="C15" s="3" t="s">
        <v>485</v>
      </c>
      <c r="D15" s="3" t="s">
        <v>623</v>
      </c>
      <c r="E15" s="3" t="s">
        <v>942</v>
      </c>
      <c r="F15" s="3" t="s">
        <v>946</v>
      </c>
      <c r="G15" s="3">
        <v>12</v>
      </c>
      <c r="H15" s="3">
        <v>36</v>
      </c>
      <c r="I15" s="3" t="s">
        <v>298</v>
      </c>
      <c r="J15" s="3">
        <f>'DNA Loop Engine'!$B$5</f>
        <v>50</v>
      </c>
      <c r="K15" s="3" t="str">
        <f>IF(J15&lt;G15,"⏳ Dormant",IF(J15&gt;=H15,"✅ Mature","🔄 Developing"))</f>
        <v>✅ Mature</v>
      </c>
      <c r="L15" s="67">
        <f>IF(J15&lt;G15,0%,IF(J15&gt;=H15,100%,(J15-G15)/(H15-G15)))</f>
        <v>1</v>
      </c>
      <c r="M15" s="68">
        <v>0</v>
      </c>
      <c r="N15" s="68">
        <v>0.84</v>
      </c>
      <c r="O15" s="68">
        <v>0.04</v>
      </c>
      <c r="P15" s="3" t="s">
        <v>728</v>
      </c>
      <c r="Q15" s="68">
        <v>0.8</v>
      </c>
      <c r="R15" s="68">
        <f>Q15*(1+'DNA Loop Engine'!$B$18)</f>
        <v>1.6</v>
      </c>
      <c r="S15" s="3" t="s">
        <v>944</v>
      </c>
    </row>
    <row r="16" spans="1:19">
      <c r="A16" s="69" t="s">
        <v>730</v>
      </c>
      <c r="B16" s="69" t="s">
        <v>223</v>
      </c>
      <c r="C16" s="69" t="s">
        <v>260</v>
      </c>
      <c r="D16" s="69" t="s">
        <v>623</v>
      </c>
      <c r="E16" s="69" t="s">
        <v>947</v>
      </c>
      <c r="F16" s="69" t="s">
        <v>948</v>
      </c>
      <c r="G16" s="69">
        <v>12</v>
      </c>
      <c r="H16" s="69">
        <v>36</v>
      </c>
      <c r="I16" s="69" t="s">
        <v>298</v>
      </c>
      <c r="J16" s="69">
        <f>'DNA Loop Engine'!$B$5</f>
        <v>50</v>
      </c>
      <c r="K16" s="69" t="str">
        <f>IF(J16&lt;G16,"⏳ Dormant",IF(J16&gt;=H16,"✅ Mature","🔄 Developing"))</f>
        <v>✅ Mature</v>
      </c>
      <c r="L16" s="70">
        <f>IF(J16&lt;G16,0%,IF(J16&gt;=H16,100%,(J16-G16)/(H16-G16)))</f>
        <v>1</v>
      </c>
      <c r="M16" s="71">
        <v>0.12</v>
      </c>
      <c r="N16" s="71">
        <v>0.79</v>
      </c>
      <c r="O16" s="71">
        <v>-0.04</v>
      </c>
      <c r="P16" s="69" t="s">
        <v>300</v>
      </c>
      <c r="Q16" s="71">
        <v>0.85</v>
      </c>
      <c r="R16" s="71">
        <f>Q16*(1+'DNA Loop Engine'!$B$18)</f>
        <v>1.7</v>
      </c>
      <c r="S16" s="69" t="s">
        <v>949</v>
      </c>
    </row>
    <row r="19" spans="1:19" ht="18.75">
      <c r="A19" s="330" t="s">
        <v>950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</row>
    <row r="21" spans="1:19">
      <c r="A21" s="72" t="s">
        <v>917</v>
      </c>
      <c r="B21" s="72" t="s">
        <v>687</v>
      </c>
      <c r="C21" s="72" t="s">
        <v>448</v>
      </c>
      <c r="D21" s="72" t="s">
        <v>688</v>
      </c>
      <c r="E21" s="72" t="s">
        <v>951</v>
      </c>
      <c r="F21" s="72" t="s">
        <v>562</v>
      </c>
    </row>
    <row r="22" spans="1:19">
      <c r="A22" s="55" t="s">
        <v>919</v>
      </c>
      <c r="B22" s="55">
        <f>COUNTIF(S2:S16,"Vision")</f>
        <v>3</v>
      </c>
      <c r="C22" s="55" t="s">
        <v>485</v>
      </c>
      <c r="D22" s="56">
        <f>AVERAGEIF(S2:S16,"Vision",L2:L16)</f>
        <v>1</v>
      </c>
      <c r="E22" s="57">
        <f>AVERAGEIF(S2:S16,"Vision",R2:R16)</f>
        <v>1.7</v>
      </c>
      <c r="F22" s="55" t="str">
        <f>IF(D22&lt;0.3,"⏳ Dormant",IF(D22&lt;1,"🔄 Developing","✅ Mature"))</f>
        <v>✅ Mature</v>
      </c>
    </row>
    <row r="23" spans="1:19">
      <c r="A23" s="58" t="s">
        <v>926</v>
      </c>
      <c r="B23" s="58">
        <f>COUNTIF(S2:S16,"Auditory")</f>
        <v>3</v>
      </c>
      <c r="C23" s="58" t="s">
        <v>952</v>
      </c>
      <c r="D23" s="59">
        <f>AVERAGEIF(S2:S16,"Auditory",L2:L16)</f>
        <v>1</v>
      </c>
      <c r="E23" s="60">
        <f>AVERAGEIF(S2:S16,"Auditory",R2:R16)</f>
        <v>1.7</v>
      </c>
      <c r="F23" s="58" t="str">
        <f>IF(D23&lt;0.3,"⏳ Dormant",IF(D23&lt;1,"🔄 Developing","✅ Mature"))</f>
        <v>✅ Mature</v>
      </c>
    </row>
    <row r="24" spans="1:19">
      <c r="A24" s="61" t="s">
        <v>933</v>
      </c>
      <c r="B24" s="61">
        <f>COUNTIF(S2:S16,"Touch")</f>
        <v>4</v>
      </c>
      <c r="C24" s="61" t="s">
        <v>262</v>
      </c>
      <c r="D24" s="62">
        <f>AVERAGEIF(S2:S16,"Touch",L2:L16)</f>
        <v>1</v>
      </c>
      <c r="E24" s="63">
        <f>AVERAGEIF(S2:S16,"Touch",R2:R16)</f>
        <v>1.5500000000000003</v>
      </c>
      <c r="F24" s="61" t="str">
        <f>IF(D24&lt;0.3,"⏳ Dormant",IF(D24&lt;1,"🔄 Developing","✅ Mature"))</f>
        <v>✅ Mature</v>
      </c>
    </row>
    <row r="25" spans="1:19">
      <c r="A25" s="64" t="s">
        <v>941</v>
      </c>
      <c r="B25" s="64">
        <f>COUNTIF(S2:S16,"Taste")</f>
        <v>2</v>
      </c>
      <c r="C25" s="64" t="s">
        <v>260</v>
      </c>
      <c r="D25" s="65">
        <f>AVERAGEIF(S2:S16,"Taste",L2:L16)</f>
        <v>1</v>
      </c>
      <c r="E25" s="66">
        <f>AVERAGEIF(S2:S16,"Taste",R2:R16)</f>
        <v>1.65</v>
      </c>
      <c r="F25" s="64" t="str">
        <f>IF(D25&lt;0.3,"⏳ Dormant",IF(D25&lt;1,"🔄 Developing","✅ Mature"))</f>
        <v>✅ Mature</v>
      </c>
    </row>
    <row r="26" spans="1:19">
      <c r="A26" s="3" t="s">
        <v>944</v>
      </c>
      <c r="B26" s="3">
        <f>COUNTIF(S2:S16,"Smell")</f>
        <v>2</v>
      </c>
      <c r="C26" s="3" t="s">
        <v>485</v>
      </c>
      <c r="D26" s="67">
        <f>AVERAGEIF(S2:S16,"Smell",L2:L16)</f>
        <v>1</v>
      </c>
      <c r="E26" s="68">
        <f>AVERAGEIF(S2:S16,"Smell",R2:R16)</f>
        <v>1.55</v>
      </c>
      <c r="F26" s="3" t="str">
        <f>IF(D26&lt;0.3,"⏳ Dormant",IF(D26&lt;1,"🔄 Developing","✅ Mature"))</f>
        <v>✅ Mature</v>
      </c>
    </row>
    <row r="27" spans="1:19">
      <c r="A27" s="69" t="s">
        <v>949</v>
      </c>
      <c r="B27" s="69">
        <f>COUNTIF(S2:S16,"Balance")</f>
        <v>1</v>
      </c>
      <c r="C27" s="69" t="s">
        <v>260</v>
      </c>
      <c r="D27" s="70">
        <f>AVERAGEIF(S2:S16,"Balance",L2:L16)</f>
        <v>1</v>
      </c>
      <c r="E27" s="71">
        <f>AVERAGEIF(S2:S16,"Balance",R2:R16)</f>
        <v>1.7</v>
      </c>
      <c r="F27" s="69" t="str">
        <f>IF(D27&lt;0.3,"⏳ Dormant",IF(D27&lt;1,"🔄 Developing","✅ Mature"))</f>
        <v>✅ Mature</v>
      </c>
    </row>
    <row r="28" spans="1:19">
      <c r="D28" s="11"/>
      <c r="E28" s="13"/>
    </row>
    <row r="29" spans="1:19">
      <c r="A29" s="74" t="s">
        <v>953</v>
      </c>
      <c r="B29" s="74">
        <f>SUM(B22:B27)</f>
        <v>15</v>
      </c>
      <c r="C29" s="74"/>
      <c r="D29" s="75">
        <f>AVERAGE(D22:D27)</f>
        <v>1</v>
      </c>
      <c r="E29" s="76">
        <f>AVERAGE(E22:E27)</f>
        <v>1.6416666666666666</v>
      </c>
      <c r="F29" s="74"/>
    </row>
    <row r="31" spans="1:19">
      <c r="A31" s="333" t="s">
        <v>954</v>
      </c>
      <c r="B31" s="321"/>
      <c r="C31" s="321"/>
      <c r="D31" s="321"/>
      <c r="E31" s="321"/>
      <c r="F31" s="321"/>
      <c r="G31" s="321"/>
      <c r="H31" s="321"/>
      <c r="I31" s="321"/>
      <c r="J31" s="321"/>
      <c r="K31" s="321"/>
      <c r="L31" s="321"/>
      <c r="M31" s="321"/>
      <c r="N31" s="321"/>
      <c r="O31" s="321"/>
      <c r="P31" s="321"/>
      <c r="Q31" s="321"/>
      <c r="R31" s="321"/>
      <c r="S31" s="321"/>
    </row>
    <row r="33" spans="1:4">
      <c r="A33" s="77" t="s">
        <v>955</v>
      </c>
      <c r="B33" s="77" t="s">
        <v>956</v>
      </c>
      <c r="C33" s="77" t="s">
        <v>957</v>
      </c>
      <c r="D33" s="77" t="s">
        <v>562</v>
      </c>
    </row>
    <row r="34" spans="1:4">
      <c r="A34" t="s">
        <v>833</v>
      </c>
      <c r="B34" t="s">
        <v>834</v>
      </c>
      <c r="C34" t="s">
        <v>958</v>
      </c>
      <c r="D34" t="s">
        <v>959</v>
      </c>
    </row>
    <row r="35" spans="1:4">
      <c r="A35" t="s">
        <v>842</v>
      </c>
      <c r="B35" t="s">
        <v>960</v>
      </c>
      <c r="C35" t="s">
        <v>961</v>
      </c>
      <c r="D35" t="s">
        <v>959</v>
      </c>
    </row>
    <row r="36" spans="1:4">
      <c r="A36" t="s">
        <v>839</v>
      </c>
      <c r="B36" t="s">
        <v>962</v>
      </c>
      <c r="C36" t="s">
        <v>963</v>
      </c>
      <c r="D36" t="s">
        <v>959</v>
      </c>
    </row>
    <row r="37" spans="1:4">
      <c r="A37" t="s">
        <v>836</v>
      </c>
      <c r="B37" t="s">
        <v>964</v>
      </c>
      <c r="C37" t="s">
        <v>965</v>
      </c>
      <c r="D37" t="s">
        <v>959</v>
      </c>
    </row>
    <row r="38" spans="1:4">
      <c r="A38" t="s">
        <v>966</v>
      </c>
      <c r="B38" t="s">
        <v>967</v>
      </c>
      <c r="C38" t="s">
        <v>968</v>
      </c>
      <c r="D38" t="s">
        <v>959</v>
      </c>
    </row>
  </sheetData>
  <mergeCells count="2">
    <mergeCell ref="A19:S19"/>
    <mergeCell ref="A31:S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27FB-7B1D-4F49-A2CC-D56956CCD601}">
  <dimension ref="A1:M205"/>
  <sheetViews>
    <sheetView workbookViewId="0"/>
  </sheetViews>
  <sheetFormatPr defaultRowHeight="15"/>
  <cols>
    <col min="1" max="1" width="34.28515625" customWidth="1"/>
    <col min="2" max="2" width="15.28515625" customWidth="1"/>
    <col min="3" max="4" width="19" customWidth="1"/>
    <col min="5" max="5" width="28.5703125" customWidth="1"/>
    <col min="6" max="8" width="11.42578125" customWidth="1"/>
    <col min="9" max="9" width="17.140625" customWidth="1"/>
    <col min="10" max="11" width="13.28515625" customWidth="1"/>
    <col min="12" max="12" width="15.28515625" customWidth="1"/>
    <col min="13" max="13" width="28.5703125" customWidth="1"/>
  </cols>
  <sheetData>
    <row r="1" spans="1:13">
      <c r="A1" s="78" t="s">
        <v>41</v>
      </c>
      <c r="B1" s="78" t="s">
        <v>42</v>
      </c>
      <c r="C1" s="78" t="s">
        <v>43</v>
      </c>
      <c r="D1" s="78" t="s">
        <v>47</v>
      </c>
      <c r="E1" s="78" t="s">
        <v>50</v>
      </c>
      <c r="F1" s="78" t="s">
        <v>51</v>
      </c>
      <c r="G1" s="78" t="s">
        <v>52</v>
      </c>
      <c r="H1" s="78" t="s">
        <v>53</v>
      </c>
      <c r="I1" s="78" t="s">
        <v>54</v>
      </c>
      <c r="J1" s="78" t="s">
        <v>969</v>
      </c>
      <c r="K1" s="78" t="s">
        <v>970</v>
      </c>
      <c r="L1" s="78" t="s">
        <v>562</v>
      </c>
      <c r="M1" s="78" t="s">
        <v>504</v>
      </c>
    </row>
    <row r="2" spans="1:13">
      <c r="A2" s="61" t="s">
        <v>61</v>
      </c>
      <c r="B2" s="61" t="s">
        <v>62</v>
      </c>
      <c r="C2" s="61" t="s">
        <v>63</v>
      </c>
      <c r="D2" s="61" t="s">
        <v>65</v>
      </c>
      <c r="E2" s="61" t="s">
        <v>66</v>
      </c>
      <c r="F2" s="63">
        <v>0</v>
      </c>
      <c r="G2" s="63">
        <v>0.85</v>
      </c>
      <c r="H2" s="63">
        <v>0.08</v>
      </c>
      <c r="I2" s="61" t="s">
        <v>67</v>
      </c>
      <c r="J2" s="79">
        <v>12</v>
      </c>
      <c r="K2" s="80">
        <v>0.05</v>
      </c>
      <c r="L2" s="61" t="s">
        <v>971</v>
      </c>
      <c r="M2" s="61" t="s">
        <v>972</v>
      </c>
    </row>
    <row r="3" spans="1:13">
      <c r="A3" s="61" t="s">
        <v>68</v>
      </c>
      <c r="B3" s="61" t="s">
        <v>62</v>
      </c>
      <c r="C3" s="61" t="s">
        <v>69</v>
      </c>
      <c r="D3" s="61" t="s">
        <v>65</v>
      </c>
      <c r="E3" s="61" t="s">
        <v>61</v>
      </c>
      <c r="F3" s="63">
        <v>-0.08</v>
      </c>
      <c r="G3" s="63">
        <v>0.88</v>
      </c>
      <c r="H3" s="63">
        <v>0</v>
      </c>
      <c r="I3" s="61" t="s">
        <v>67</v>
      </c>
      <c r="J3" s="79">
        <v>13</v>
      </c>
      <c r="K3" s="80">
        <v>0.04</v>
      </c>
      <c r="L3" s="61" t="s">
        <v>971</v>
      </c>
      <c r="M3" s="61" t="s">
        <v>973</v>
      </c>
    </row>
    <row r="4" spans="1:13">
      <c r="A4" s="61" t="s">
        <v>70</v>
      </c>
      <c r="B4" s="61" t="s">
        <v>62</v>
      </c>
      <c r="C4" s="61" t="s">
        <v>71</v>
      </c>
      <c r="D4" s="61" t="s">
        <v>65</v>
      </c>
      <c r="E4" s="61" t="s">
        <v>61</v>
      </c>
      <c r="F4" s="63">
        <v>0.08</v>
      </c>
      <c r="G4" s="63">
        <v>0.88</v>
      </c>
      <c r="H4" s="63">
        <v>0</v>
      </c>
      <c r="I4" s="61" t="s">
        <v>67</v>
      </c>
      <c r="J4" s="79">
        <v>13</v>
      </c>
      <c r="K4" s="80">
        <v>0.04</v>
      </c>
      <c r="L4" s="61" t="s">
        <v>971</v>
      </c>
      <c r="M4" s="61" t="s">
        <v>974</v>
      </c>
    </row>
    <row r="5" spans="1:13">
      <c r="A5" s="61" t="s">
        <v>72</v>
      </c>
      <c r="B5" s="61" t="s">
        <v>62</v>
      </c>
      <c r="C5" s="61" t="s">
        <v>73</v>
      </c>
      <c r="D5" s="61" t="s">
        <v>65</v>
      </c>
      <c r="E5" s="61" t="s">
        <v>68</v>
      </c>
      <c r="F5" s="63">
        <v>-0.12</v>
      </c>
      <c r="G5" s="63">
        <v>0.82</v>
      </c>
      <c r="H5" s="63">
        <v>-0.02</v>
      </c>
      <c r="I5" s="61" t="s">
        <v>67</v>
      </c>
      <c r="J5" s="79">
        <v>5</v>
      </c>
      <c r="K5" s="80">
        <v>0.03</v>
      </c>
      <c r="L5" s="61" t="s">
        <v>971</v>
      </c>
      <c r="M5" s="61" t="s">
        <v>975</v>
      </c>
    </row>
    <row r="6" spans="1:13">
      <c r="A6" s="61" t="s">
        <v>74</v>
      </c>
      <c r="B6" s="61" t="s">
        <v>62</v>
      </c>
      <c r="C6" s="61" t="s">
        <v>75</v>
      </c>
      <c r="D6" s="61" t="s">
        <v>65</v>
      </c>
      <c r="E6" s="61" t="s">
        <v>70</v>
      </c>
      <c r="F6" s="63">
        <v>0.12</v>
      </c>
      <c r="G6" s="63">
        <v>0.82</v>
      </c>
      <c r="H6" s="63">
        <v>-0.02</v>
      </c>
      <c r="I6" s="61" t="s">
        <v>67</v>
      </c>
      <c r="J6" s="79">
        <v>5</v>
      </c>
      <c r="K6" s="80">
        <v>0.03</v>
      </c>
      <c r="L6" s="61" t="s">
        <v>971</v>
      </c>
      <c r="M6" s="61" t="s">
        <v>976</v>
      </c>
    </row>
    <row r="7" spans="1:13">
      <c r="A7" s="61" t="s">
        <v>76</v>
      </c>
      <c r="B7" s="61" t="s">
        <v>62</v>
      </c>
      <c r="C7" s="61" t="s">
        <v>77</v>
      </c>
      <c r="D7" s="61" t="s">
        <v>65</v>
      </c>
      <c r="E7" s="61" t="s">
        <v>66</v>
      </c>
      <c r="F7" s="63">
        <v>0</v>
      </c>
      <c r="G7" s="63">
        <v>0.8</v>
      </c>
      <c r="H7" s="63">
        <v>-0.08</v>
      </c>
      <c r="I7" s="61" t="s">
        <v>67</v>
      </c>
      <c r="J7" s="79">
        <v>10</v>
      </c>
      <c r="K7" s="80">
        <v>0.06</v>
      </c>
      <c r="L7" s="61" t="s">
        <v>971</v>
      </c>
      <c r="M7" s="61" t="s">
        <v>977</v>
      </c>
    </row>
    <row r="8" spans="1:13">
      <c r="A8" s="61" t="s">
        <v>78</v>
      </c>
      <c r="B8" s="61" t="s">
        <v>62</v>
      </c>
      <c r="C8" s="61" t="s">
        <v>79</v>
      </c>
      <c r="D8" s="61" t="s">
        <v>65</v>
      </c>
      <c r="E8" s="61" t="s">
        <v>66</v>
      </c>
      <c r="F8" s="63">
        <v>0</v>
      </c>
      <c r="G8" s="63">
        <v>0.78</v>
      </c>
      <c r="H8" s="63">
        <v>0.02</v>
      </c>
      <c r="I8" s="61" t="s">
        <v>67</v>
      </c>
      <c r="J8" s="79">
        <v>8</v>
      </c>
      <c r="K8" s="80">
        <v>0.02</v>
      </c>
      <c r="L8" s="61" t="s">
        <v>971</v>
      </c>
      <c r="M8" s="61" t="s">
        <v>978</v>
      </c>
    </row>
    <row r="9" spans="1:13">
      <c r="A9" s="61" t="s">
        <v>80</v>
      </c>
      <c r="B9" s="61" t="s">
        <v>62</v>
      </c>
      <c r="C9" s="61" t="s">
        <v>81</v>
      </c>
      <c r="D9" s="61" t="s">
        <v>65</v>
      </c>
      <c r="E9" s="61" t="s">
        <v>78</v>
      </c>
      <c r="F9" s="63">
        <v>0</v>
      </c>
      <c r="G9" s="63">
        <v>0.8</v>
      </c>
      <c r="H9" s="63">
        <v>0.04</v>
      </c>
      <c r="I9" s="61" t="s">
        <v>67</v>
      </c>
      <c r="J9" s="79">
        <v>4</v>
      </c>
      <c r="K9" s="80">
        <v>0.01</v>
      </c>
      <c r="L9" s="61" t="s">
        <v>971</v>
      </c>
      <c r="M9" s="61" t="s">
        <v>979</v>
      </c>
    </row>
    <row r="10" spans="1:13">
      <c r="A10" s="61" t="s">
        <v>98</v>
      </c>
      <c r="B10" s="61" t="s">
        <v>62</v>
      </c>
      <c r="C10" s="61" t="s">
        <v>99</v>
      </c>
      <c r="D10" s="61" t="s">
        <v>65</v>
      </c>
      <c r="E10" s="61" t="s">
        <v>72</v>
      </c>
      <c r="F10" s="63">
        <v>0</v>
      </c>
      <c r="G10" s="63">
        <v>0.68</v>
      </c>
      <c r="H10" s="63">
        <v>0.12</v>
      </c>
      <c r="I10" s="61" t="s">
        <v>100</v>
      </c>
      <c r="J10" s="79">
        <v>12</v>
      </c>
      <c r="K10" s="80">
        <v>0.08</v>
      </c>
      <c r="L10" s="61" t="s">
        <v>971</v>
      </c>
      <c r="M10" s="61" t="s">
        <v>980</v>
      </c>
    </row>
    <row r="11" spans="1:13">
      <c r="A11" s="61" t="s">
        <v>94</v>
      </c>
      <c r="B11" s="61" t="s">
        <v>62</v>
      </c>
      <c r="C11" s="61" t="s">
        <v>95</v>
      </c>
      <c r="D11" s="61" t="s">
        <v>65</v>
      </c>
      <c r="E11" s="61" t="s">
        <v>61</v>
      </c>
      <c r="F11" s="63">
        <v>-0.03</v>
      </c>
      <c r="G11" s="63">
        <v>0.72</v>
      </c>
      <c r="H11" s="63">
        <v>0.1</v>
      </c>
      <c r="I11" s="61" t="s">
        <v>67</v>
      </c>
      <c r="J11" s="79">
        <v>5</v>
      </c>
      <c r="K11" s="80">
        <v>0.02</v>
      </c>
      <c r="L11" s="61" t="s">
        <v>971</v>
      </c>
      <c r="M11" s="61" t="s">
        <v>981</v>
      </c>
    </row>
    <row r="12" spans="1:13">
      <c r="A12" s="61" t="s">
        <v>96</v>
      </c>
      <c r="B12" s="61" t="s">
        <v>62</v>
      </c>
      <c r="C12" s="61" t="s">
        <v>97</v>
      </c>
      <c r="D12" s="61" t="s">
        <v>65</v>
      </c>
      <c r="E12" s="61" t="s">
        <v>61</v>
      </c>
      <c r="F12" s="63">
        <v>0.03</v>
      </c>
      <c r="G12" s="63">
        <v>0.72</v>
      </c>
      <c r="H12" s="63">
        <v>0.1</v>
      </c>
      <c r="I12" s="61" t="s">
        <v>67</v>
      </c>
      <c r="J12" s="79">
        <v>5</v>
      </c>
      <c r="K12" s="80">
        <v>0.02</v>
      </c>
      <c r="L12" s="61" t="s">
        <v>971</v>
      </c>
      <c r="M12" s="61" t="s">
        <v>982</v>
      </c>
    </row>
    <row r="13" spans="1:13">
      <c r="A13" s="61" t="s">
        <v>983</v>
      </c>
      <c r="B13" s="61" t="s">
        <v>62</v>
      </c>
      <c r="C13" s="61" t="s">
        <v>128</v>
      </c>
      <c r="D13" s="61" t="s">
        <v>65</v>
      </c>
      <c r="E13" s="61" t="s">
        <v>66</v>
      </c>
      <c r="F13" s="63">
        <v>0</v>
      </c>
      <c r="G13" s="63">
        <v>0.6</v>
      </c>
      <c r="H13" s="63">
        <v>-0.04</v>
      </c>
      <c r="I13" s="61" t="s">
        <v>132</v>
      </c>
      <c r="J13" s="79">
        <v>12</v>
      </c>
      <c r="K13" s="80">
        <v>0.1</v>
      </c>
      <c r="L13" s="61" t="s">
        <v>971</v>
      </c>
      <c r="M13" s="61" t="s">
        <v>984</v>
      </c>
    </row>
    <row r="14" spans="1:13">
      <c r="A14" s="61" t="s">
        <v>985</v>
      </c>
      <c r="B14" s="61" t="s">
        <v>62</v>
      </c>
      <c r="C14" s="61" t="s">
        <v>131</v>
      </c>
      <c r="D14" s="61" t="s">
        <v>65</v>
      </c>
      <c r="E14" s="61" t="s">
        <v>983</v>
      </c>
      <c r="F14" s="63">
        <v>0</v>
      </c>
      <c r="G14" s="63">
        <v>0.4</v>
      </c>
      <c r="H14" s="63">
        <v>-0.06</v>
      </c>
      <c r="I14" s="61" t="s">
        <v>132</v>
      </c>
      <c r="J14" s="79">
        <v>28</v>
      </c>
      <c r="K14" s="80">
        <v>0.25</v>
      </c>
      <c r="L14" s="61" t="s">
        <v>971</v>
      </c>
      <c r="M14" s="61" t="s">
        <v>986</v>
      </c>
    </row>
    <row r="15" spans="1:13">
      <c r="A15" s="61" t="s">
        <v>987</v>
      </c>
      <c r="B15" s="61" t="s">
        <v>62</v>
      </c>
      <c r="C15" s="61" t="s">
        <v>134</v>
      </c>
      <c r="D15" s="61" t="s">
        <v>65</v>
      </c>
      <c r="E15" s="61" t="s">
        <v>985</v>
      </c>
      <c r="F15" s="63">
        <v>0</v>
      </c>
      <c r="G15" s="63">
        <v>0.15</v>
      </c>
      <c r="H15" s="63">
        <v>-0.06</v>
      </c>
      <c r="I15" s="61" t="s">
        <v>132</v>
      </c>
      <c r="J15" s="79">
        <v>15</v>
      </c>
      <c r="K15" s="80">
        <v>0.15</v>
      </c>
      <c r="L15" s="61" t="s">
        <v>971</v>
      </c>
      <c r="M15" s="61" t="s">
        <v>988</v>
      </c>
    </row>
    <row r="16" spans="1:13">
      <c r="A16" s="61" t="s">
        <v>135</v>
      </c>
      <c r="B16" s="61" t="s">
        <v>62</v>
      </c>
      <c r="C16" s="61" t="s">
        <v>136</v>
      </c>
      <c r="D16" s="61" t="s">
        <v>65</v>
      </c>
      <c r="E16" s="61" t="s">
        <v>987</v>
      </c>
      <c r="F16" s="63">
        <v>0</v>
      </c>
      <c r="G16" s="63">
        <v>0.02</v>
      </c>
      <c r="H16" s="63">
        <v>-0.06</v>
      </c>
      <c r="I16" s="61" t="s">
        <v>137</v>
      </c>
      <c r="J16" s="79">
        <v>12</v>
      </c>
      <c r="K16" s="80">
        <v>0.12</v>
      </c>
      <c r="L16" s="61" t="s">
        <v>971</v>
      </c>
      <c r="M16" s="61" t="s">
        <v>989</v>
      </c>
    </row>
    <row r="17" spans="1:13">
      <c r="A17" s="61" t="s">
        <v>138</v>
      </c>
      <c r="B17" s="61" t="s">
        <v>62</v>
      </c>
      <c r="C17" s="61" t="s">
        <v>139</v>
      </c>
      <c r="D17" s="61" t="s">
        <v>65</v>
      </c>
      <c r="E17" s="61" t="s">
        <v>135</v>
      </c>
      <c r="F17" s="63">
        <v>0</v>
      </c>
      <c r="G17" s="63">
        <v>-0.05</v>
      </c>
      <c r="H17" s="63">
        <v>-0.08</v>
      </c>
      <c r="I17" s="61" t="s">
        <v>140</v>
      </c>
      <c r="J17" s="79">
        <v>4</v>
      </c>
      <c r="K17" s="80">
        <v>0.02</v>
      </c>
      <c r="L17" s="61" t="s">
        <v>971</v>
      </c>
      <c r="M17" s="61" t="s">
        <v>990</v>
      </c>
    </row>
    <row r="18" spans="1:13">
      <c r="A18" s="61" t="s">
        <v>991</v>
      </c>
      <c r="B18" s="61" t="s">
        <v>62</v>
      </c>
      <c r="C18" s="61" t="s">
        <v>142</v>
      </c>
      <c r="D18" s="61" t="s">
        <v>65</v>
      </c>
      <c r="E18" s="61" t="s">
        <v>985</v>
      </c>
      <c r="F18" s="63">
        <v>-0.15</v>
      </c>
      <c r="G18" s="63">
        <v>0.4</v>
      </c>
      <c r="H18" s="63">
        <v>0</v>
      </c>
      <c r="I18" s="61" t="s">
        <v>143</v>
      </c>
      <c r="J18" s="79">
        <v>30</v>
      </c>
      <c r="K18" s="80">
        <v>0.2</v>
      </c>
      <c r="L18" s="61" t="s">
        <v>971</v>
      </c>
      <c r="M18" s="61" t="s">
        <v>992</v>
      </c>
    </row>
    <row r="19" spans="1:13">
      <c r="A19" s="61" t="s">
        <v>993</v>
      </c>
      <c r="B19" s="61" t="s">
        <v>62</v>
      </c>
      <c r="C19" s="61" t="s">
        <v>145</v>
      </c>
      <c r="D19" s="61" t="s">
        <v>65</v>
      </c>
      <c r="E19" s="61" t="s">
        <v>985</v>
      </c>
      <c r="F19" s="63">
        <v>0.15</v>
      </c>
      <c r="G19" s="63">
        <v>0.4</v>
      </c>
      <c r="H19" s="63">
        <v>0</v>
      </c>
      <c r="I19" s="61" t="s">
        <v>143</v>
      </c>
      <c r="J19" s="79">
        <v>30</v>
      </c>
      <c r="K19" s="80">
        <v>0.2</v>
      </c>
      <c r="L19" s="61" t="s">
        <v>971</v>
      </c>
      <c r="M19" s="61" t="s">
        <v>994</v>
      </c>
    </row>
    <row r="20" spans="1:13">
      <c r="A20" s="61" t="s">
        <v>146</v>
      </c>
      <c r="B20" s="61" t="s">
        <v>62</v>
      </c>
      <c r="C20" s="61" t="s">
        <v>147</v>
      </c>
      <c r="D20" s="61" t="s">
        <v>65</v>
      </c>
      <c r="E20" s="61" t="s">
        <v>991</v>
      </c>
      <c r="F20" s="63">
        <v>0</v>
      </c>
      <c r="G20" s="63">
        <v>0.42</v>
      </c>
      <c r="H20" s="63">
        <v>0.08</v>
      </c>
      <c r="I20" s="61" t="s">
        <v>148</v>
      </c>
      <c r="J20" s="79">
        <v>17</v>
      </c>
      <c r="K20" s="80">
        <v>0.05</v>
      </c>
      <c r="L20" s="61" t="s">
        <v>971</v>
      </c>
      <c r="M20" s="61" t="s">
        <v>995</v>
      </c>
    </row>
    <row r="21" spans="1:13">
      <c r="A21" s="61" t="s">
        <v>149</v>
      </c>
      <c r="B21" s="61" t="s">
        <v>62</v>
      </c>
      <c r="C21" s="61" t="s">
        <v>150</v>
      </c>
      <c r="D21" s="61" t="s">
        <v>65</v>
      </c>
      <c r="E21" s="61" t="s">
        <v>146</v>
      </c>
      <c r="F21" s="63">
        <v>-0.18</v>
      </c>
      <c r="G21" s="63">
        <v>0.55000000000000004</v>
      </c>
      <c r="H21" s="63">
        <v>0.02</v>
      </c>
      <c r="I21" s="61" t="s">
        <v>151</v>
      </c>
      <c r="J21" s="79">
        <v>15</v>
      </c>
      <c r="K21" s="80">
        <v>2.5000000000000001E-2</v>
      </c>
      <c r="L21" s="61" t="s">
        <v>971</v>
      </c>
      <c r="M21" s="61" t="s">
        <v>996</v>
      </c>
    </row>
    <row r="22" spans="1:13">
      <c r="A22" s="61" t="s">
        <v>152</v>
      </c>
      <c r="B22" s="61" t="s">
        <v>62</v>
      </c>
      <c r="C22" s="61" t="s">
        <v>153</v>
      </c>
      <c r="D22" s="61" t="s">
        <v>65</v>
      </c>
      <c r="E22" s="61" t="s">
        <v>146</v>
      </c>
      <c r="F22" s="63">
        <v>0.18</v>
      </c>
      <c r="G22" s="63">
        <v>0.55000000000000004</v>
      </c>
      <c r="H22" s="63">
        <v>0.02</v>
      </c>
      <c r="I22" s="61" t="s">
        <v>151</v>
      </c>
      <c r="J22" s="79">
        <v>15</v>
      </c>
      <c r="K22" s="80">
        <v>2.5000000000000001E-2</v>
      </c>
      <c r="L22" s="61" t="s">
        <v>971</v>
      </c>
      <c r="M22" s="61" t="s">
        <v>997</v>
      </c>
    </row>
    <row r="23" spans="1:13">
      <c r="A23" s="61" t="s">
        <v>154</v>
      </c>
      <c r="B23" s="61" t="s">
        <v>62</v>
      </c>
      <c r="C23" s="61" t="s">
        <v>155</v>
      </c>
      <c r="D23" s="61" t="s">
        <v>65</v>
      </c>
      <c r="E23" s="61" t="s">
        <v>149</v>
      </c>
      <c r="F23" s="63">
        <v>-0.16</v>
      </c>
      <c r="G23" s="63">
        <v>0.52</v>
      </c>
      <c r="H23" s="63">
        <v>-0.04</v>
      </c>
      <c r="I23" s="61" t="s">
        <v>156</v>
      </c>
      <c r="J23" s="79">
        <v>15</v>
      </c>
      <c r="K23" s="80">
        <v>0.06</v>
      </c>
      <c r="L23" s="61" t="s">
        <v>971</v>
      </c>
      <c r="M23" s="61" t="s">
        <v>998</v>
      </c>
    </row>
    <row r="24" spans="1:13">
      <c r="A24" s="61" t="s">
        <v>157</v>
      </c>
      <c r="B24" s="61" t="s">
        <v>62</v>
      </c>
      <c r="C24" s="61" t="s">
        <v>158</v>
      </c>
      <c r="D24" s="61" t="s">
        <v>65</v>
      </c>
      <c r="E24" s="61" t="s">
        <v>152</v>
      </c>
      <c r="F24" s="63">
        <v>0.16</v>
      </c>
      <c r="G24" s="63">
        <v>0.52</v>
      </c>
      <c r="H24" s="63">
        <v>-0.04</v>
      </c>
      <c r="I24" s="61" t="s">
        <v>156</v>
      </c>
      <c r="J24" s="79">
        <v>15</v>
      </c>
      <c r="K24" s="80">
        <v>0.06</v>
      </c>
      <c r="L24" s="61" t="s">
        <v>971</v>
      </c>
      <c r="M24" s="61" t="s">
        <v>999</v>
      </c>
    </row>
    <row r="25" spans="1:13">
      <c r="A25" s="61" t="s">
        <v>159</v>
      </c>
      <c r="B25" s="61" t="s">
        <v>62</v>
      </c>
      <c r="C25" s="61" t="s">
        <v>160</v>
      </c>
      <c r="D25" s="61" t="s">
        <v>65</v>
      </c>
      <c r="E25" s="61" t="s">
        <v>154</v>
      </c>
      <c r="F25" s="63">
        <v>-0.22</v>
      </c>
      <c r="G25" s="63">
        <v>0.48</v>
      </c>
      <c r="H25" s="63">
        <v>-0.02</v>
      </c>
      <c r="I25" s="61" t="s">
        <v>161</v>
      </c>
      <c r="J25" s="79">
        <v>36</v>
      </c>
      <c r="K25" s="80">
        <v>0.18</v>
      </c>
      <c r="L25" s="61" t="s">
        <v>971</v>
      </c>
      <c r="M25" s="61" t="s">
        <v>1000</v>
      </c>
    </row>
    <row r="26" spans="1:13">
      <c r="A26" s="61" t="s">
        <v>162</v>
      </c>
      <c r="B26" s="61" t="s">
        <v>62</v>
      </c>
      <c r="C26" s="61" t="s">
        <v>163</v>
      </c>
      <c r="D26" s="61" t="s">
        <v>65</v>
      </c>
      <c r="E26" s="61" t="s">
        <v>157</v>
      </c>
      <c r="F26" s="63">
        <v>0.22</v>
      </c>
      <c r="G26" s="63">
        <v>0.48</v>
      </c>
      <c r="H26" s="63">
        <v>-0.02</v>
      </c>
      <c r="I26" s="61" t="s">
        <v>161</v>
      </c>
      <c r="J26" s="79">
        <v>36</v>
      </c>
      <c r="K26" s="80">
        <v>0.18</v>
      </c>
      <c r="L26" s="61" t="s">
        <v>971</v>
      </c>
      <c r="M26" s="61" t="s">
        <v>1001</v>
      </c>
    </row>
    <row r="27" spans="1:13">
      <c r="A27" s="61" t="s">
        <v>164</v>
      </c>
      <c r="B27" s="61" t="s">
        <v>62</v>
      </c>
      <c r="C27" s="61" t="s">
        <v>165</v>
      </c>
      <c r="D27" s="61" t="s">
        <v>65</v>
      </c>
      <c r="E27" s="61" t="s">
        <v>159</v>
      </c>
      <c r="F27" s="63">
        <v>-0.28000000000000003</v>
      </c>
      <c r="G27" s="63">
        <v>0.35</v>
      </c>
      <c r="H27" s="63">
        <v>0</v>
      </c>
      <c r="I27" s="61" t="s">
        <v>166</v>
      </c>
      <c r="J27" s="79">
        <v>25</v>
      </c>
      <c r="K27" s="80">
        <v>0.08</v>
      </c>
      <c r="L27" s="61" t="s">
        <v>971</v>
      </c>
      <c r="M27" s="61" t="s">
        <v>1002</v>
      </c>
    </row>
    <row r="28" spans="1:13">
      <c r="A28" s="61" t="s">
        <v>167</v>
      </c>
      <c r="B28" s="61" t="s">
        <v>62</v>
      </c>
      <c r="C28" s="61" t="s">
        <v>168</v>
      </c>
      <c r="D28" s="61" t="s">
        <v>65</v>
      </c>
      <c r="E28" s="61" t="s">
        <v>162</v>
      </c>
      <c r="F28" s="63">
        <v>0.28000000000000003</v>
      </c>
      <c r="G28" s="63">
        <v>0.35</v>
      </c>
      <c r="H28" s="63">
        <v>0</v>
      </c>
      <c r="I28" s="61" t="s">
        <v>166</v>
      </c>
      <c r="J28" s="79">
        <v>25</v>
      </c>
      <c r="K28" s="80">
        <v>0.08</v>
      </c>
      <c r="L28" s="61" t="s">
        <v>971</v>
      </c>
      <c r="M28" s="61" t="s">
        <v>1003</v>
      </c>
    </row>
    <row r="29" spans="1:13">
      <c r="A29" s="61" t="s">
        <v>169</v>
      </c>
      <c r="B29" s="61" t="s">
        <v>62</v>
      </c>
      <c r="C29" s="61" t="s">
        <v>170</v>
      </c>
      <c r="D29" s="61" t="s">
        <v>65</v>
      </c>
      <c r="E29" s="61" t="s">
        <v>159</v>
      </c>
      <c r="F29" s="63">
        <v>-0.28000000000000003</v>
      </c>
      <c r="G29" s="63">
        <v>0.22</v>
      </c>
      <c r="H29" s="63">
        <v>0</v>
      </c>
      <c r="I29" s="61" t="s">
        <v>171</v>
      </c>
      <c r="J29" s="79">
        <v>28</v>
      </c>
      <c r="K29" s="80">
        <v>0.09</v>
      </c>
      <c r="L29" s="61" t="s">
        <v>971</v>
      </c>
      <c r="M29" s="61" t="s">
        <v>1004</v>
      </c>
    </row>
    <row r="30" spans="1:13">
      <c r="A30" s="61" t="s">
        <v>172</v>
      </c>
      <c r="B30" s="61" t="s">
        <v>62</v>
      </c>
      <c r="C30" s="61" t="s">
        <v>173</v>
      </c>
      <c r="D30" s="61" t="s">
        <v>65</v>
      </c>
      <c r="E30" s="61" t="s">
        <v>162</v>
      </c>
      <c r="F30" s="63">
        <v>0.28000000000000003</v>
      </c>
      <c r="G30" s="63">
        <v>0.22</v>
      </c>
      <c r="H30" s="63">
        <v>0</v>
      </c>
      <c r="I30" s="61" t="s">
        <v>171</v>
      </c>
      <c r="J30" s="79">
        <v>28</v>
      </c>
      <c r="K30" s="80">
        <v>0.09</v>
      </c>
      <c r="L30" s="61" t="s">
        <v>971</v>
      </c>
      <c r="M30" s="61" t="s">
        <v>1005</v>
      </c>
    </row>
    <row r="31" spans="1:13">
      <c r="A31" s="61" t="s">
        <v>174</v>
      </c>
      <c r="B31" s="61" t="s">
        <v>62</v>
      </c>
      <c r="C31" s="61" t="s">
        <v>175</v>
      </c>
      <c r="D31" s="61" t="s">
        <v>65</v>
      </c>
      <c r="E31" s="61" t="s">
        <v>164</v>
      </c>
      <c r="F31" s="63">
        <v>-0.32</v>
      </c>
      <c r="G31" s="63">
        <v>0.12</v>
      </c>
      <c r="H31" s="63">
        <v>0</v>
      </c>
      <c r="I31" s="61" t="s">
        <v>176</v>
      </c>
      <c r="J31" s="79">
        <v>2.5</v>
      </c>
      <c r="K31" s="80">
        <v>0.02</v>
      </c>
      <c r="L31" s="61" t="s">
        <v>971</v>
      </c>
      <c r="M31" s="61" t="s">
        <v>1006</v>
      </c>
    </row>
    <row r="32" spans="1:13">
      <c r="A32" s="61" t="s">
        <v>177</v>
      </c>
      <c r="B32" s="61" t="s">
        <v>62</v>
      </c>
      <c r="C32" s="61" t="s">
        <v>178</v>
      </c>
      <c r="D32" s="61" t="s">
        <v>65</v>
      </c>
      <c r="E32" s="61" t="s">
        <v>167</v>
      </c>
      <c r="F32" s="63">
        <v>0.32</v>
      </c>
      <c r="G32" s="63">
        <v>0.12</v>
      </c>
      <c r="H32" s="63">
        <v>0</v>
      </c>
      <c r="I32" s="61" t="s">
        <v>176</v>
      </c>
      <c r="J32" s="79">
        <v>2.5</v>
      </c>
      <c r="K32" s="80">
        <v>0.02</v>
      </c>
      <c r="L32" s="61" t="s">
        <v>971</v>
      </c>
      <c r="M32" s="61" t="s">
        <v>1007</v>
      </c>
    </row>
    <row r="33" spans="1:13">
      <c r="A33" s="61" t="s">
        <v>179</v>
      </c>
      <c r="B33" s="61" t="s">
        <v>62</v>
      </c>
      <c r="C33" s="61" t="s">
        <v>180</v>
      </c>
      <c r="D33" s="61" t="s">
        <v>65</v>
      </c>
      <c r="E33" s="61" t="s">
        <v>174</v>
      </c>
      <c r="F33" s="63">
        <v>-0.35</v>
      </c>
      <c r="G33" s="63">
        <v>0.05</v>
      </c>
      <c r="H33" s="63">
        <v>0</v>
      </c>
      <c r="I33" s="61" t="s">
        <v>181</v>
      </c>
      <c r="J33" s="79">
        <v>8</v>
      </c>
      <c r="K33" s="80">
        <v>0.03</v>
      </c>
      <c r="L33" s="61" t="s">
        <v>971</v>
      </c>
      <c r="M33" s="61" t="s">
        <v>1008</v>
      </c>
    </row>
    <row r="34" spans="1:13">
      <c r="A34" s="61" t="s">
        <v>182</v>
      </c>
      <c r="B34" s="61" t="s">
        <v>62</v>
      </c>
      <c r="C34" s="61" t="s">
        <v>183</v>
      </c>
      <c r="D34" s="61" t="s">
        <v>65</v>
      </c>
      <c r="E34" s="61" t="s">
        <v>177</v>
      </c>
      <c r="F34" s="63">
        <v>0.35</v>
      </c>
      <c r="G34" s="63">
        <v>0.05</v>
      </c>
      <c r="H34" s="63">
        <v>0</v>
      </c>
      <c r="I34" s="61" t="s">
        <v>181</v>
      </c>
      <c r="J34" s="79">
        <v>8</v>
      </c>
      <c r="K34" s="80">
        <v>0.03</v>
      </c>
      <c r="L34" s="61" t="s">
        <v>971</v>
      </c>
      <c r="M34" s="61" t="s">
        <v>1009</v>
      </c>
    </row>
    <row r="35" spans="1:13">
      <c r="A35" s="61" t="s">
        <v>184</v>
      </c>
      <c r="B35" s="61" t="s">
        <v>62</v>
      </c>
      <c r="C35" s="61" t="s">
        <v>185</v>
      </c>
      <c r="D35" s="61" t="s">
        <v>65</v>
      </c>
      <c r="E35" s="61" t="s">
        <v>179</v>
      </c>
      <c r="F35" s="63">
        <v>-0.38</v>
      </c>
      <c r="G35" s="63">
        <v>-0.02</v>
      </c>
      <c r="H35" s="63">
        <v>0.02</v>
      </c>
      <c r="I35" s="61" t="s">
        <v>166</v>
      </c>
      <c r="J35" s="79">
        <v>6</v>
      </c>
      <c r="K35" s="80">
        <v>0.02</v>
      </c>
      <c r="L35" s="61" t="s">
        <v>971</v>
      </c>
      <c r="M35" s="61" t="s">
        <v>1010</v>
      </c>
    </row>
    <row r="36" spans="1:13">
      <c r="A36" s="61" t="s">
        <v>186</v>
      </c>
      <c r="B36" s="61" t="s">
        <v>62</v>
      </c>
      <c r="C36" s="61" t="s">
        <v>187</v>
      </c>
      <c r="D36" s="61" t="s">
        <v>65</v>
      </c>
      <c r="E36" s="61" t="s">
        <v>182</v>
      </c>
      <c r="F36" s="63">
        <v>0.38</v>
      </c>
      <c r="G36" s="63">
        <v>-0.02</v>
      </c>
      <c r="H36" s="63">
        <v>0.02</v>
      </c>
      <c r="I36" s="61" t="s">
        <v>166</v>
      </c>
      <c r="J36" s="79">
        <v>6</v>
      </c>
      <c r="K36" s="80">
        <v>0.02</v>
      </c>
      <c r="L36" s="61" t="s">
        <v>971</v>
      </c>
      <c r="M36" s="61" t="s">
        <v>1011</v>
      </c>
    </row>
    <row r="37" spans="1:13">
      <c r="A37" s="61" t="s">
        <v>188</v>
      </c>
      <c r="B37" s="61" t="s">
        <v>62</v>
      </c>
      <c r="C37" s="61" t="s">
        <v>189</v>
      </c>
      <c r="D37" s="61" t="s">
        <v>65</v>
      </c>
      <c r="E37" s="61" t="s">
        <v>135</v>
      </c>
      <c r="F37" s="63">
        <v>-0.12</v>
      </c>
      <c r="G37" s="63">
        <v>0</v>
      </c>
      <c r="H37" s="63">
        <v>0</v>
      </c>
      <c r="I37" s="61" t="s">
        <v>137</v>
      </c>
      <c r="J37" s="79">
        <v>18</v>
      </c>
      <c r="K37" s="80">
        <v>0.3</v>
      </c>
      <c r="L37" s="61" t="s">
        <v>971</v>
      </c>
      <c r="M37" s="61" t="s">
        <v>1012</v>
      </c>
    </row>
    <row r="38" spans="1:13">
      <c r="A38" s="61" t="s">
        <v>190</v>
      </c>
      <c r="B38" s="61" t="s">
        <v>62</v>
      </c>
      <c r="C38" s="61" t="s">
        <v>191</v>
      </c>
      <c r="D38" s="61" t="s">
        <v>65</v>
      </c>
      <c r="E38" s="61" t="s">
        <v>135</v>
      </c>
      <c r="F38" s="63">
        <v>0.12</v>
      </c>
      <c r="G38" s="63">
        <v>0</v>
      </c>
      <c r="H38" s="63">
        <v>0</v>
      </c>
      <c r="I38" s="61" t="s">
        <v>137</v>
      </c>
      <c r="J38" s="79">
        <v>18</v>
      </c>
      <c r="K38" s="80">
        <v>0.3</v>
      </c>
      <c r="L38" s="61" t="s">
        <v>971</v>
      </c>
      <c r="M38" s="61" t="s">
        <v>1013</v>
      </c>
    </row>
    <row r="39" spans="1:13">
      <c r="A39" s="61" t="s">
        <v>192</v>
      </c>
      <c r="B39" s="61" t="s">
        <v>62</v>
      </c>
      <c r="C39" s="61" t="s">
        <v>193</v>
      </c>
      <c r="D39" s="61" t="s">
        <v>65</v>
      </c>
      <c r="E39" s="61" t="s">
        <v>188</v>
      </c>
      <c r="F39" s="63">
        <v>-0.15</v>
      </c>
      <c r="G39" s="63">
        <v>-0.2</v>
      </c>
      <c r="H39" s="63">
        <v>0</v>
      </c>
      <c r="I39" s="61" t="s">
        <v>161</v>
      </c>
      <c r="J39" s="79">
        <v>48</v>
      </c>
      <c r="K39" s="80">
        <v>0.5</v>
      </c>
      <c r="L39" s="61" t="s">
        <v>971</v>
      </c>
      <c r="M39" s="61" t="s">
        <v>1014</v>
      </c>
    </row>
    <row r="40" spans="1:13">
      <c r="A40" s="61" t="s">
        <v>194</v>
      </c>
      <c r="B40" s="61" t="s">
        <v>62</v>
      </c>
      <c r="C40" s="61" t="s">
        <v>195</v>
      </c>
      <c r="D40" s="61" t="s">
        <v>65</v>
      </c>
      <c r="E40" s="61" t="s">
        <v>190</v>
      </c>
      <c r="F40" s="63">
        <v>0.15</v>
      </c>
      <c r="G40" s="63">
        <v>-0.2</v>
      </c>
      <c r="H40" s="63">
        <v>0</v>
      </c>
      <c r="I40" s="61" t="s">
        <v>161</v>
      </c>
      <c r="J40" s="79">
        <v>48</v>
      </c>
      <c r="K40" s="80">
        <v>0.5</v>
      </c>
      <c r="L40" s="61" t="s">
        <v>971</v>
      </c>
      <c r="M40" s="61" t="s">
        <v>1015</v>
      </c>
    </row>
    <row r="41" spans="1:13">
      <c r="A41" s="61" t="s">
        <v>196</v>
      </c>
      <c r="B41" s="61" t="s">
        <v>62</v>
      </c>
      <c r="C41" s="61" t="s">
        <v>197</v>
      </c>
      <c r="D41" s="61" t="s">
        <v>65</v>
      </c>
      <c r="E41" s="61" t="s">
        <v>192</v>
      </c>
      <c r="F41" s="63">
        <v>-0.15</v>
      </c>
      <c r="G41" s="63">
        <v>-0.42</v>
      </c>
      <c r="H41" s="63">
        <v>0.02</v>
      </c>
      <c r="I41" s="61" t="s">
        <v>198</v>
      </c>
      <c r="J41" s="79">
        <v>5</v>
      </c>
      <c r="K41" s="80">
        <v>0.02</v>
      </c>
      <c r="L41" s="61" t="s">
        <v>971</v>
      </c>
      <c r="M41" s="61" t="s">
        <v>1016</v>
      </c>
    </row>
    <row r="42" spans="1:13">
      <c r="A42" s="61" t="s">
        <v>199</v>
      </c>
      <c r="B42" s="61" t="s">
        <v>62</v>
      </c>
      <c r="C42" s="61" t="s">
        <v>200</v>
      </c>
      <c r="D42" s="61" t="s">
        <v>65</v>
      </c>
      <c r="E42" s="61" t="s">
        <v>194</v>
      </c>
      <c r="F42" s="63">
        <v>0.15</v>
      </c>
      <c r="G42" s="63">
        <v>-0.42</v>
      </c>
      <c r="H42" s="63">
        <v>0.02</v>
      </c>
      <c r="I42" s="61" t="s">
        <v>198</v>
      </c>
      <c r="J42" s="79">
        <v>5</v>
      </c>
      <c r="K42" s="80">
        <v>0.02</v>
      </c>
      <c r="L42" s="61" t="s">
        <v>971</v>
      </c>
      <c r="M42" s="61" t="s">
        <v>1017</v>
      </c>
    </row>
    <row r="43" spans="1:13">
      <c r="A43" s="61" t="s">
        <v>201</v>
      </c>
      <c r="B43" s="61" t="s">
        <v>62</v>
      </c>
      <c r="C43" s="61" t="s">
        <v>202</v>
      </c>
      <c r="D43" s="61" t="s">
        <v>65</v>
      </c>
      <c r="E43" s="61" t="s">
        <v>192</v>
      </c>
      <c r="F43" s="63">
        <v>-0.15</v>
      </c>
      <c r="G43" s="63">
        <v>-0.45</v>
      </c>
      <c r="H43" s="63">
        <v>0</v>
      </c>
      <c r="I43" s="61" t="s">
        <v>166</v>
      </c>
      <c r="J43" s="79">
        <v>43</v>
      </c>
      <c r="K43" s="80">
        <v>0.35</v>
      </c>
      <c r="L43" s="61" t="s">
        <v>971</v>
      </c>
      <c r="M43" s="61" t="s">
        <v>1018</v>
      </c>
    </row>
    <row r="44" spans="1:13">
      <c r="A44" s="61" t="s">
        <v>203</v>
      </c>
      <c r="B44" s="61" t="s">
        <v>62</v>
      </c>
      <c r="C44" s="61" t="s">
        <v>204</v>
      </c>
      <c r="D44" s="61" t="s">
        <v>65</v>
      </c>
      <c r="E44" s="61" t="s">
        <v>194</v>
      </c>
      <c r="F44" s="63">
        <v>0.15</v>
      </c>
      <c r="G44" s="63">
        <v>-0.45</v>
      </c>
      <c r="H44" s="63">
        <v>0</v>
      </c>
      <c r="I44" s="61" t="s">
        <v>166</v>
      </c>
      <c r="J44" s="79">
        <v>43</v>
      </c>
      <c r="K44" s="80">
        <v>0.35</v>
      </c>
      <c r="L44" s="61" t="s">
        <v>971</v>
      </c>
      <c r="M44" s="61" t="s">
        <v>1019</v>
      </c>
    </row>
    <row r="45" spans="1:13">
      <c r="A45" s="61" t="s">
        <v>205</v>
      </c>
      <c r="B45" s="61" t="s">
        <v>62</v>
      </c>
      <c r="C45" s="61" t="s">
        <v>206</v>
      </c>
      <c r="D45" s="61" t="s">
        <v>65</v>
      </c>
      <c r="E45" s="61" t="s">
        <v>201</v>
      </c>
      <c r="F45" s="63">
        <v>-0.17</v>
      </c>
      <c r="G45" s="63">
        <v>-0.45</v>
      </c>
      <c r="H45" s="63">
        <v>0</v>
      </c>
      <c r="I45" s="61" t="s">
        <v>207</v>
      </c>
      <c r="J45" s="79">
        <v>40</v>
      </c>
      <c r="K45" s="80">
        <v>0.08</v>
      </c>
      <c r="L45" s="61" t="s">
        <v>971</v>
      </c>
      <c r="M45" s="61" t="s">
        <v>1020</v>
      </c>
    </row>
    <row r="46" spans="1:13">
      <c r="A46" s="61" t="s">
        <v>208</v>
      </c>
      <c r="B46" s="61" t="s">
        <v>62</v>
      </c>
      <c r="C46" s="61" t="s">
        <v>209</v>
      </c>
      <c r="D46" s="61" t="s">
        <v>65</v>
      </c>
      <c r="E46" s="61" t="s">
        <v>203</v>
      </c>
      <c r="F46" s="63">
        <v>0.17</v>
      </c>
      <c r="G46" s="63">
        <v>-0.45</v>
      </c>
      <c r="H46" s="63">
        <v>0</v>
      </c>
      <c r="I46" s="61" t="s">
        <v>207</v>
      </c>
      <c r="J46" s="79">
        <v>40</v>
      </c>
      <c r="K46" s="80">
        <v>0.08</v>
      </c>
      <c r="L46" s="61" t="s">
        <v>971</v>
      </c>
      <c r="M46" s="61" t="s">
        <v>1021</v>
      </c>
    </row>
    <row r="47" spans="1:13">
      <c r="A47" s="61" t="s">
        <v>210</v>
      </c>
      <c r="B47" s="61" t="s">
        <v>62</v>
      </c>
      <c r="C47" s="61" t="s">
        <v>211</v>
      </c>
      <c r="D47" s="61" t="s">
        <v>65</v>
      </c>
      <c r="E47" s="61" t="s">
        <v>201</v>
      </c>
      <c r="F47" s="63">
        <v>-0.15</v>
      </c>
      <c r="G47" s="63">
        <v>-0.68</v>
      </c>
      <c r="H47" s="63">
        <v>0</v>
      </c>
      <c r="I47" s="61" t="s">
        <v>176</v>
      </c>
      <c r="J47" s="79">
        <v>7</v>
      </c>
      <c r="K47" s="80">
        <v>0.08</v>
      </c>
      <c r="L47" s="61" t="s">
        <v>971</v>
      </c>
      <c r="M47" s="61" t="s">
        <v>1022</v>
      </c>
    </row>
    <row r="48" spans="1:13">
      <c r="A48" s="61" t="s">
        <v>212</v>
      </c>
      <c r="B48" s="61" t="s">
        <v>62</v>
      </c>
      <c r="C48" s="61" t="s">
        <v>213</v>
      </c>
      <c r="D48" s="61" t="s">
        <v>65</v>
      </c>
      <c r="E48" s="61" t="s">
        <v>203</v>
      </c>
      <c r="F48" s="63">
        <v>0.15</v>
      </c>
      <c r="G48" s="63">
        <v>-0.68</v>
      </c>
      <c r="H48" s="63">
        <v>0</v>
      </c>
      <c r="I48" s="61" t="s">
        <v>176</v>
      </c>
      <c r="J48" s="79">
        <v>7</v>
      </c>
      <c r="K48" s="80">
        <v>0.08</v>
      </c>
      <c r="L48" s="61" t="s">
        <v>971</v>
      </c>
      <c r="M48" s="61" t="s">
        <v>1023</v>
      </c>
    </row>
    <row r="49" spans="1:13">
      <c r="A49" s="61" t="s">
        <v>214</v>
      </c>
      <c r="B49" s="61" t="s">
        <v>62</v>
      </c>
      <c r="C49" s="61" t="s">
        <v>215</v>
      </c>
      <c r="D49" s="61" t="s">
        <v>65</v>
      </c>
      <c r="E49" s="61" t="s">
        <v>210</v>
      </c>
      <c r="F49" s="63">
        <v>-0.18</v>
      </c>
      <c r="G49" s="63">
        <v>-0.72</v>
      </c>
      <c r="H49" s="63">
        <v>0</v>
      </c>
      <c r="I49" s="61" t="s">
        <v>181</v>
      </c>
      <c r="J49" s="79">
        <v>8</v>
      </c>
      <c r="K49" s="80">
        <v>0.05</v>
      </c>
      <c r="L49" s="61" t="s">
        <v>971</v>
      </c>
      <c r="M49" s="61" t="s">
        <v>1024</v>
      </c>
    </row>
    <row r="50" spans="1:13">
      <c r="A50" s="61" t="s">
        <v>216</v>
      </c>
      <c r="B50" s="61" t="s">
        <v>62</v>
      </c>
      <c r="C50" s="61" t="s">
        <v>217</v>
      </c>
      <c r="D50" s="61" t="s">
        <v>65</v>
      </c>
      <c r="E50" s="61" t="s">
        <v>212</v>
      </c>
      <c r="F50" s="63">
        <v>0.18</v>
      </c>
      <c r="G50" s="63">
        <v>-0.72</v>
      </c>
      <c r="H50" s="63">
        <v>0</v>
      </c>
      <c r="I50" s="61" t="s">
        <v>181</v>
      </c>
      <c r="J50" s="79">
        <v>8</v>
      </c>
      <c r="K50" s="80">
        <v>0.05</v>
      </c>
      <c r="L50" s="61" t="s">
        <v>971</v>
      </c>
      <c r="M50" s="61" t="s">
        <v>1025</v>
      </c>
    </row>
    <row r="51" spans="1:13">
      <c r="A51" s="61" t="s">
        <v>218</v>
      </c>
      <c r="B51" s="61" t="s">
        <v>62</v>
      </c>
      <c r="C51" s="61" t="s">
        <v>219</v>
      </c>
      <c r="D51" s="61" t="s">
        <v>65</v>
      </c>
      <c r="E51" s="61" t="s">
        <v>214</v>
      </c>
      <c r="F51" s="63">
        <v>-0.2</v>
      </c>
      <c r="G51" s="63">
        <v>-0.85</v>
      </c>
      <c r="H51" s="63">
        <v>0.08</v>
      </c>
      <c r="I51" s="61" t="s">
        <v>166</v>
      </c>
      <c r="J51" s="79">
        <v>5</v>
      </c>
      <c r="K51" s="80">
        <v>0.03</v>
      </c>
      <c r="L51" s="61" t="s">
        <v>971</v>
      </c>
      <c r="M51" s="61" t="s">
        <v>1026</v>
      </c>
    </row>
    <row r="52" spans="1:13">
      <c r="A52" s="61" t="s">
        <v>220</v>
      </c>
      <c r="B52" s="61" t="s">
        <v>62</v>
      </c>
      <c r="C52" s="61" t="s">
        <v>221</v>
      </c>
      <c r="D52" s="61" t="s">
        <v>65</v>
      </c>
      <c r="E52" s="61" t="s">
        <v>216</v>
      </c>
      <c r="F52" s="63">
        <v>0.2</v>
      </c>
      <c r="G52" s="63">
        <v>-0.85</v>
      </c>
      <c r="H52" s="63">
        <v>0.08</v>
      </c>
      <c r="I52" s="61" t="s">
        <v>166</v>
      </c>
      <c r="J52" s="79">
        <v>5</v>
      </c>
      <c r="K52" s="80">
        <v>0.03</v>
      </c>
      <c r="L52" s="61" t="s">
        <v>971</v>
      </c>
      <c r="M52" s="61" t="s">
        <v>1027</v>
      </c>
    </row>
    <row r="53" spans="1:13">
      <c r="A53" s="64" t="s">
        <v>222</v>
      </c>
      <c r="B53" s="64" t="s">
        <v>223</v>
      </c>
      <c r="C53" s="64" t="s">
        <v>224</v>
      </c>
      <c r="D53" s="64" t="s">
        <v>65</v>
      </c>
      <c r="E53" s="64" t="s">
        <v>66</v>
      </c>
      <c r="F53" s="66">
        <v>0</v>
      </c>
      <c r="G53" s="66">
        <v>0.38</v>
      </c>
      <c r="H53" s="66">
        <v>0.04</v>
      </c>
      <c r="I53" s="64" t="s">
        <v>126</v>
      </c>
      <c r="J53" s="81">
        <v>14</v>
      </c>
      <c r="K53" s="82">
        <v>0.3</v>
      </c>
      <c r="L53" s="64" t="s">
        <v>971</v>
      </c>
      <c r="M53" s="64" t="s">
        <v>1028</v>
      </c>
    </row>
    <row r="54" spans="1:13">
      <c r="A54" s="64" t="s">
        <v>1029</v>
      </c>
      <c r="B54" s="64" t="s">
        <v>223</v>
      </c>
      <c r="C54" s="64" t="s">
        <v>1030</v>
      </c>
      <c r="D54" s="64" t="s">
        <v>65</v>
      </c>
      <c r="E54" s="64" t="s">
        <v>66</v>
      </c>
      <c r="F54" s="66">
        <v>-0.1</v>
      </c>
      <c r="G54" s="66">
        <v>0.35</v>
      </c>
      <c r="H54" s="66">
        <v>0</v>
      </c>
      <c r="I54" s="64" t="s">
        <v>1031</v>
      </c>
      <c r="J54" s="81">
        <v>25</v>
      </c>
      <c r="K54" s="82">
        <v>0.5</v>
      </c>
      <c r="L54" s="64" t="s">
        <v>971</v>
      </c>
      <c r="M54" s="64" t="s">
        <v>1032</v>
      </c>
    </row>
    <row r="55" spans="1:13">
      <c r="A55" s="64" t="s">
        <v>1033</v>
      </c>
      <c r="B55" s="64" t="s">
        <v>223</v>
      </c>
      <c r="C55" s="64" t="s">
        <v>1034</v>
      </c>
      <c r="D55" s="64" t="s">
        <v>65</v>
      </c>
      <c r="E55" s="64" t="s">
        <v>66</v>
      </c>
      <c r="F55" s="66">
        <v>0.1</v>
      </c>
      <c r="G55" s="66">
        <v>0.35</v>
      </c>
      <c r="H55" s="66">
        <v>0</v>
      </c>
      <c r="I55" s="64" t="s">
        <v>1031</v>
      </c>
      <c r="J55" s="81">
        <v>28</v>
      </c>
      <c r="K55" s="82">
        <v>0.6</v>
      </c>
      <c r="L55" s="64" t="s">
        <v>971</v>
      </c>
      <c r="M55" s="64" t="s">
        <v>1035</v>
      </c>
    </row>
    <row r="56" spans="1:13">
      <c r="A56" s="64" t="s">
        <v>227</v>
      </c>
      <c r="B56" s="64" t="s">
        <v>223</v>
      </c>
      <c r="C56" s="64" t="s">
        <v>228</v>
      </c>
      <c r="D56" s="64" t="s">
        <v>65</v>
      </c>
      <c r="E56" s="64" t="s">
        <v>66</v>
      </c>
      <c r="F56" s="66">
        <v>0.08</v>
      </c>
      <c r="G56" s="66">
        <v>0.3</v>
      </c>
      <c r="H56" s="66">
        <v>0.02</v>
      </c>
      <c r="I56" s="64" t="s">
        <v>229</v>
      </c>
      <c r="J56" s="81">
        <v>21</v>
      </c>
      <c r="K56" s="82">
        <v>1.5</v>
      </c>
      <c r="L56" s="64" t="s">
        <v>971</v>
      </c>
      <c r="M56" s="64" t="s">
        <v>1036</v>
      </c>
    </row>
    <row r="57" spans="1:13">
      <c r="A57" s="64" t="s">
        <v>230</v>
      </c>
      <c r="B57" s="64" t="s">
        <v>223</v>
      </c>
      <c r="C57" s="64" t="s">
        <v>231</v>
      </c>
      <c r="D57" s="64" t="s">
        <v>65</v>
      </c>
      <c r="E57" s="64" t="s">
        <v>66</v>
      </c>
      <c r="F57" s="66">
        <v>0</v>
      </c>
      <c r="G57" s="66">
        <v>0.25</v>
      </c>
      <c r="H57" s="66">
        <v>0</v>
      </c>
      <c r="I57" s="64" t="s">
        <v>229</v>
      </c>
      <c r="J57" s="81">
        <v>25</v>
      </c>
      <c r="K57" s="82">
        <v>0.15</v>
      </c>
      <c r="L57" s="64" t="s">
        <v>971</v>
      </c>
      <c r="M57" s="64" t="s">
        <v>1037</v>
      </c>
    </row>
    <row r="58" spans="1:13">
      <c r="A58" s="64" t="s">
        <v>232</v>
      </c>
      <c r="B58" s="64" t="s">
        <v>223</v>
      </c>
      <c r="C58" s="64" t="s">
        <v>233</v>
      </c>
      <c r="D58" s="64" t="s">
        <v>65</v>
      </c>
      <c r="E58" s="64" t="s">
        <v>230</v>
      </c>
      <c r="F58" s="66">
        <v>0</v>
      </c>
      <c r="G58" s="66">
        <v>0.15</v>
      </c>
      <c r="H58" s="66">
        <v>-0.02</v>
      </c>
      <c r="I58" s="64" t="s">
        <v>234</v>
      </c>
      <c r="J58" s="81">
        <v>600</v>
      </c>
      <c r="K58" s="82">
        <v>1</v>
      </c>
      <c r="L58" s="64" t="s">
        <v>971</v>
      </c>
      <c r="M58" s="64" t="s">
        <v>1038</v>
      </c>
    </row>
    <row r="59" spans="1:13">
      <c r="A59" s="64" t="s">
        <v>235</v>
      </c>
      <c r="B59" s="64" t="s">
        <v>223</v>
      </c>
      <c r="C59" s="64" t="s">
        <v>236</v>
      </c>
      <c r="D59" s="64" t="s">
        <v>65</v>
      </c>
      <c r="E59" s="64" t="s">
        <v>232</v>
      </c>
      <c r="F59" s="66">
        <v>0</v>
      </c>
      <c r="G59" s="66">
        <v>0.08</v>
      </c>
      <c r="H59" s="66">
        <v>-0.04</v>
      </c>
      <c r="I59" s="64" t="s">
        <v>234</v>
      </c>
      <c r="J59" s="81">
        <v>150</v>
      </c>
      <c r="K59" s="82">
        <v>0.5</v>
      </c>
      <c r="L59" s="64" t="s">
        <v>971</v>
      </c>
      <c r="M59" s="64" t="s">
        <v>1039</v>
      </c>
    </row>
    <row r="60" spans="1:13">
      <c r="A60" s="64" t="s">
        <v>237</v>
      </c>
      <c r="B60" s="64" t="s">
        <v>223</v>
      </c>
      <c r="C60" s="64" t="s">
        <v>238</v>
      </c>
      <c r="D60" s="64" t="s">
        <v>65</v>
      </c>
      <c r="E60" s="64" t="s">
        <v>230</v>
      </c>
      <c r="F60" s="66">
        <v>0.05</v>
      </c>
      <c r="G60" s="66">
        <v>0.28000000000000003</v>
      </c>
      <c r="H60" s="66">
        <v>0</v>
      </c>
      <c r="I60" s="64" t="s">
        <v>229</v>
      </c>
      <c r="J60" s="81">
        <v>15</v>
      </c>
      <c r="K60" s="82">
        <v>0.1</v>
      </c>
      <c r="L60" s="64" t="s">
        <v>971</v>
      </c>
      <c r="M60" s="64" t="s">
        <v>1040</v>
      </c>
    </row>
    <row r="61" spans="1:13">
      <c r="A61" s="64" t="s">
        <v>239</v>
      </c>
      <c r="B61" s="64" t="s">
        <v>223</v>
      </c>
      <c r="C61" s="64" t="s">
        <v>240</v>
      </c>
      <c r="D61" s="64" t="s">
        <v>65</v>
      </c>
      <c r="E61" s="64" t="s">
        <v>227</v>
      </c>
      <c r="F61" s="66">
        <v>0.06</v>
      </c>
      <c r="G61" s="66">
        <v>0.26</v>
      </c>
      <c r="H61" s="66">
        <v>0.02</v>
      </c>
      <c r="I61" s="64" t="s">
        <v>229</v>
      </c>
      <c r="J61" s="81">
        <v>10</v>
      </c>
      <c r="K61" s="82">
        <v>0.05</v>
      </c>
      <c r="L61" s="64" t="s">
        <v>971</v>
      </c>
      <c r="M61" s="64" t="s">
        <v>1041</v>
      </c>
    </row>
    <row r="62" spans="1:13">
      <c r="A62" s="64" t="s">
        <v>1042</v>
      </c>
      <c r="B62" s="64" t="s">
        <v>223</v>
      </c>
      <c r="C62" s="64" t="s">
        <v>1043</v>
      </c>
      <c r="D62" s="64" t="s">
        <v>65</v>
      </c>
      <c r="E62" s="64" t="s">
        <v>66</v>
      </c>
      <c r="F62" s="66">
        <v>-0.1</v>
      </c>
      <c r="G62" s="66">
        <v>0.18</v>
      </c>
      <c r="H62" s="66">
        <v>-0.04</v>
      </c>
      <c r="I62" s="64" t="s">
        <v>243</v>
      </c>
      <c r="J62" s="81">
        <v>12</v>
      </c>
      <c r="K62" s="82">
        <v>0.15</v>
      </c>
      <c r="L62" s="64" t="s">
        <v>971</v>
      </c>
      <c r="M62" s="64" t="s">
        <v>1044</v>
      </c>
    </row>
    <row r="63" spans="1:13">
      <c r="A63" s="64" t="s">
        <v>1045</v>
      </c>
      <c r="B63" s="64" t="s">
        <v>223</v>
      </c>
      <c r="C63" s="64" t="s">
        <v>1046</v>
      </c>
      <c r="D63" s="64" t="s">
        <v>65</v>
      </c>
      <c r="E63" s="64" t="s">
        <v>66</v>
      </c>
      <c r="F63" s="66">
        <v>0.1</v>
      </c>
      <c r="G63" s="66">
        <v>0.16</v>
      </c>
      <c r="H63" s="66">
        <v>-0.04</v>
      </c>
      <c r="I63" s="64" t="s">
        <v>243</v>
      </c>
      <c r="J63" s="81">
        <v>12</v>
      </c>
      <c r="K63" s="82">
        <v>0.15</v>
      </c>
      <c r="L63" s="64" t="s">
        <v>971</v>
      </c>
      <c r="M63" s="64" t="s">
        <v>1047</v>
      </c>
    </row>
    <row r="64" spans="1:13">
      <c r="A64" s="64" t="s">
        <v>244</v>
      </c>
      <c r="B64" s="64" t="s">
        <v>223</v>
      </c>
      <c r="C64" s="64" t="s">
        <v>245</v>
      </c>
      <c r="D64" s="64" t="s">
        <v>65</v>
      </c>
      <c r="E64" s="64" t="s">
        <v>66</v>
      </c>
      <c r="F64" s="66">
        <v>0</v>
      </c>
      <c r="G64" s="66">
        <v>0.02</v>
      </c>
      <c r="H64" s="66">
        <v>0</v>
      </c>
      <c r="I64" s="64" t="s">
        <v>229</v>
      </c>
      <c r="J64" s="81">
        <v>12</v>
      </c>
      <c r="K64" s="82">
        <v>0.05</v>
      </c>
      <c r="L64" s="64" t="s">
        <v>971</v>
      </c>
      <c r="M64" s="64" t="s">
        <v>1048</v>
      </c>
    </row>
    <row r="65" spans="1:13">
      <c r="A65" s="64" t="s">
        <v>248</v>
      </c>
      <c r="B65" s="64" t="s">
        <v>223</v>
      </c>
      <c r="C65" s="64" t="s">
        <v>249</v>
      </c>
      <c r="D65" s="64" t="s">
        <v>65</v>
      </c>
      <c r="E65" s="64" t="s">
        <v>66</v>
      </c>
      <c r="F65" s="66">
        <v>-0.12</v>
      </c>
      <c r="G65" s="66">
        <v>0.25</v>
      </c>
      <c r="H65" s="66">
        <v>-0.02</v>
      </c>
      <c r="I65" s="64" t="s">
        <v>229</v>
      </c>
      <c r="J65" s="81">
        <v>12</v>
      </c>
      <c r="K65" s="82">
        <v>0.18</v>
      </c>
      <c r="L65" s="64" t="s">
        <v>971</v>
      </c>
      <c r="M65" s="64" t="s">
        <v>1049</v>
      </c>
    </row>
    <row r="66" spans="1:13">
      <c r="A66" s="64" t="s">
        <v>253</v>
      </c>
      <c r="B66" s="64" t="s">
        <v>223</v>
      </c>
      <c r="C66" s="64" t="s">
        <v>254</v>
      </c>
      <c r="D66" s="64" t="s">
        <v>256</v>
      </c>
      <c r="E66" s="64" t="s">
        <v>66</v>
      </c>
      <c r="F66" s="66">
        <v>0</v>
      </c>
      <c r="G66" s="66">
        <v>0.82</v>
      </c>
      <c r="H66" s="66">
        <v>0</v>
      </c>
      <c r="I66" s="64" t="s">
        <v>257</v>
      </c>
      <c r="J66" s="81">
        <v>16</v>
      </c>
      <c r="K66" s="82">
        <v>1.2</v>
      </c>
      <c r="L66" s="64" t="s">
        <v>971</v>
      </c>
      <c r="M66" s="64" t="s">
        <v>1050</v>
      </c>
    </row>
    <row r="67" spans="1:13">
      <c r="A67" s="64" t="s">
        <v>258</v>
      </c>
      <c r="B67" s="64" t="s">
        <v>223</v>
      </c>
      <c r="C67" s="64" t="s">
        <v>259</v>
      </c>
      <c r="D67" s="64" t="s">
        <v>256</v>
      </c>
      <c r="E67" s="64" t="s">
        <v>253</v>
      </c>
      <c r="F67" s="66">
        <v>0</v>
      </c>
      <c r="G67" s="66">
        <v>0.75</v>
      </c>
      <c r="H67" s="66">
        <v>-0.02</v>
      </c>
      <c r="I67" s="64" t="s">
        <v>257</v>
      </c>
      <c r="J67" s="81">
        <v>10</v>
      </c>
      <c r="K67" s="82">
        <v>0.15</v>
      </c>
      <c r="L67" s="64" t="s">
        <v>971</v>
      </c>
      <c r="M67" s="64" t="s">
        <v>1051</v>
      </c>
    </row>
    <row r="68" spans="1:13">
      <c r="A68" s="64" t="s">
        <v>260</v>
      </c>
      <c r="B68" s="64" t="s">
        <v>223</v>
      </c>
      <c r="C68" s="64" t="s">
        <v>261</v>
      </c>
      <c r="D68" s="64" t="s">
        <v>256</v>
      </c>
      <c r="E68" s="64" t="s">
        <v>258</v>
      </c>
      <c r="F68" s="66">
        <v>0</v>
      </c>
      <c r="G68" s="66">
        <v>0.7</v>
      </c>
      <c r="H68" s="66">
        <v>-0.04</v>
      </c>
      <c r="I68" s="64" t="s">
        <v>257</v>
      </c>
      <c r="J68" s="81">
        <v>8</v>
      </c>
      <c r="K68" s="82">
        <v>0.03</v>
      </c>
      <c r="L68" s="64" t="s">
        <v>971</v>
      </c>
      <c r="M68" s="64" t="s">
        <v>1052</v>
      </c>
    </row>
    <row r="69" spans="1:13">
      <c r="A69" s="64" t="s">
        <v>262</v>
      </c>
      <c r="B69" s="64" t="s">
        <v>223</v>
      </c>
      <c r="C69" s="64" t="s">
        <v>263</v>
      </c>
      <c r="D69" s="64" t="s">
        <v>256</v>
      </c>
      <c r="E69" s="64" t="s">
        <v>260</v>
      </c>
      <c r="F69" s="66">
        <v>0</v>
      </c>
      <c r="G69" s="66">
        <v>0.5</v>
      </c>
      <c r="H69" s="66">
        <v>-0.04</v>
      </c>
      <c r="I69" s="64" t="s">
        <v>264</v>
      </c>
      <c r="J69" s="81">
        <v>45</v>
      </c>
      <c r="K69" s="82">
        <v>0.04</v>
      </c>
      <c r="L69" s="64" t="s">
        <v>971</v>
      </c>
      <c r="M69" s="64" t="s">
        <v>1053</v>
      </c>
    </row>
    <row r="70" spans="1:13">
      <c r="A70" s="64" t="s">
        <v>265</v>
      </c>
      <c r="B70" s="64" t="s">
        <v>223</v>
      </c>
      <c r="C70" s="64" t="s">
        <v>266</v>
      </c>
      <c r="D70" s="64" t="s">
        <v>267</v>
      </c>
      <c r="E70" s="64" t="s">
        <v>253</v>
      </c>
      <c r="F70" s="66">
        <v>0</v>
      </c>
      <c r="G70" s="66">
        <v>0.78</v>
      </c>
      <c r="H70" s="66">
        <v>0</v>
      </c>
      <c r="I70" s="64" t="s">
        <v>126</v>
      </c>
      <c r="J70" s="81">
        <v>1.3</v>
      </c>
      <c r="K70" s="82">
        <v>5.9999999999999995E-4</v>
      </c>
      <c r="L70" s="64" t="s">
        <v>971</v>
      </c>
      <c r="M70" s="64" t="s">
        <v>1054</v>
      </c>
    </row>
    <row r="71" spans="1:13">
      <c r="A71" s="64" t="s">
        <v>268</v>
      </c>
      <c r="B71" s="64" t="s">
        <v>223</v>
      </c>
      <c r="C71" s="64" t="s">
        <v>269</v>
      </c>
      <c r="D71" s="64" t="s">
        <v>267</v>
      </c>
      <c r="E71" s="64" t="s">
        <v>253</v>
      </c>
      <c r="F71" s="66">
        <v>0</v>
      </c>
      <c r="G71" s="66">
        <v>0.78</v>
      </c>
      <c r="H71" s="66">
        <v>-0.01</v>
      </c>
      <c r="I71" s="64" t="s">
        <v>126</v>
      </c>
      <c r="J71" s="81">
        <v>0.8</v>
      </c>
      <c r="K71" s="82">
        <v>2.0000000000000001E-4</v>
      </c>
      <c r="L71" s="64" t="s">
        <v>971</v>
      </c>
      <c r="M71" s="64" t="s">
        <v>1055</v>
      </c>
    </row>
    <row r="72" spans="1:13">
      <c r="A72" s="64" t="s">
        <v>270</v>
      </c>
      <c r="B72" s="64" t="s">
        <v>223</v>
      </c>
      <c r="C72" s="64" t="s">
        <v>271</v>
      </c>
      <c r="D72" s="64" t="s">
        <v>267</v>
      </c>
      <c r="E72" s="64" t="s">
        <v>66</v>
      </c>
      <c r="F72" s="66">
        <v>0</v>
      </c>
      <c r="G72" s="66">
        <v>0.57999999999999996</v>
      </c>
      <c r="H72" s="66">
        <v>0.02</v>
      </c>
      <c r="I72" s="64" t="s">
        <v>126</v>
      </c>
      <c r="J72" s="81">
        <v>5</v>
      </c>
      <c r="K72" s="82">
        <v>2.5000000000000001E-2</v>
      </c>
      <c r="L72" s="64" t="s">
        <v>971</v>
      </c>
      <c r="M72" s="64" t="s">
        <v>1056</v>
      </c>
    </row>
    <row r="73" spans="1:13">
      <c r="A73" s="64" t="s">
        <v>1057</v>
      </c>
      <c r="B73" s="64" t="s">
        <v>223</v>
      </c>
      <c r="C73" s="64" t="s">
        <v>273</v>
      </c>
      <c r="D73" s="64" t="s">
        <v>267</v>
      </c>
      <c r="E73" s="64" t="s">
        <v>270</v>
      </c>
      <c r="F73" s="66">
        <v>0</v>
      </c>
      <c r="G73" s="66">
        <v>0.56000000000000005</v>
      </c>
      <c r="H73" s="66">
        <v>0.02</v>
      </c>
      <c r="I73" s="64" t="s">
        <v>126</v>
      </c>
      <c r="J73" s="81">
        <v>0.6</v>
      </c>
      <c r="K73" s="82">
        <v>4.0000000000000002E-4</v>
      </c>
      <c r="L73" s="64" t="s">
        <v>971</v>
      </c>
      <c r="M73" s="64" t="s">
        <v>1058</v>
      </c>
    </row>
    <row r="74" spans="1:13">
      <c r="A74" s="64" t="s">
        <v>274</v>
      </c>
      <c r="B74" s="64" t="s">
        <v>223</v>
      </c>
      <c r="C74" s="64" t="s">
        <v>275</v>
      </c>
      <c r="D74" s="64" t="s">
        <v>267</v>
      </c>
      <c r="E74" s="64" t="s">
        <v>1042</v>
      </c>
      <c r="F74" s="66">
        <v>-0.1</v>
      </c>
      <c r="G74" s="66">
        <v>0.2</v>
      </c>
      <c r="H74" s="66">
        <v>-0.03</v>
      </c>
      <c r="I74" s="64" t="s">
        <v>243</v>
      </c>
      <c r="J74" s="81">
        <v>5</v>
      </c>
      <c r="K74" s="82">
        <v>1.2E-2</v>
      </c>
      <c r="L74" s="64" t="s">
        <v>971</v>
      </c>
      <c r="M74" s="64" t="s">
        <v>1059</v>
      </c>
    </row>
    <row r="75" spans="1:13">
      <c r="A75" s="64" t="s">
        <v>250</v>
      </c>
      <c r="B75" s="64" t="s">
        <v>223</v>
      </c>
      <c r="C75" s="64" t="s">
        <v>251</v>
      </c>
      <c r="D75" s="64" t="s">
        <v>267</v>
      </c>
      <c r="E75" s="64" t="s">
        <v>66</v>
      </c>
      <c r="F75" s="66">
        <v>0</v>
      </c>
      <c r="G75" s="66">
        <v>0.45</v>
      </c>
      <c r="H75" s="66">
        <v>0</v>
      </c>
      <c r="I75" s="64" t="s">
        <v>252</v>
      </c>
      <c r="J75" s="81">
        <v>5</v>
      </c>
      <c r="K75" s="82">
        <v>2.5000000000000001E-2</v>
      </c>
      <c r="L75" s="64" t="s">
        <v>971</v>
      </c>
      <c r="M75" s="64" t="s">
        <v>1060</v>
      </c>
    </row>
    <row r="76" spans="1:13">
      <c r="A76" s="64" t="s">
        <v>296</v>
      </c>
      <c r="B76" s="64" t="s">
        <v>223</v>
      </c>
      <c r="C76" s="64" t="s">
        <v>297</v>
      </c>
      <c r="D76" s="64" t="s">
        <v>298</v>
      </c>
      <c r="E76" s="64" t="s">
        <v>66</v>
      </c>
      <c r="F76" s="66">
        <v>-0.03</v>
      </c>
      <c r="G76" s="66">
        <v>0.78</v>
      </c>
      <c r="H76" s="66">
        <v>0.12</v>
      </c>
      <c r="I76" s="64" t="s">
        <v>299</v>
      </c>
      <c r="J76" s="81">
        <v>2.4</v>
      </c>
      <c r="K76" s="82">
        <v>7.4999999999999997E-3</v>
      </c>
      <c r="L76" s="64" t="s">
        <v>971</v>
      </c>
      <c r="M76" s="64" t="s">
        <v>1061</v>
      </c>
    </row>
    <row r="77" spans="1:13">
      <c r="A77" s="64" t="s">
        <v>300</v>
      </c>
      <c r="B77" s="64" t="s">
        <v>223</v>
      </c>
      <c r="C77" s="64" t="s">
        <v>301</v>
      </c>
      <c r="D77" s="64" t="s">
        <v>298</v>
      </c>
      <c r="E77" s="64" t="s">
        <v>66</v>
      </c>
      <c r="F77" s="66">
        <v>-0.08</v>
      </c>
      <c r="G77" s="66">
        <v>0.8</v>
      </c>
      <c r="H77" s="66">
        <v>0.04</v>
      </c>
      <c r="I77" s="64" t="s">
        <v>302</v>
      </c>
      <c r="J77" s="81">
        <v>6.5</v>
      </c>
      <c r="K77" s="82">
        <v>0.01</v>
      </c>
      <c r="L77" s="64" t="s">
        <v>971</v>
      </c>
      <c r="M77" s="64" t="s">
        <v>1062</v>
      </c>
    </row>
    <row r="78" spans="1:13">
      <c r="A78" s="64" t="s">
        <v>303</v>
      </c>
      <c r="B78" s="64" t="s">
        <v>223</v>
      </c>
      <c r="C78" s="64" t="s">
        <v>304</v>
      </c>
      <c r="D78" s="64" t="s">
        <v>298</v>
      </c>
      <c r="E78" s="64" t="s">
        <v>66</v>
      </c>
      <c r="F78" s="66">
        <v>0</v>
      </c>
      <c r="G78" s="66">
        <v>0.74</v>
      </c>
      <c r="H78" s="66">
        <v>0.12</v>
      </c>
      <c r="I78" s="64" t="s">
        <v>148</v>
      </c>
      <c r="J78" s="81">
        <v>5</v>
      </c>
      <c r="K78" s="82">
        <v>1.4999999999999999E-2</v>
      </c>
      <c r="L78" s="64" t="s">
        <v>971</v>
      </c>
      <c r="M78" s="64" t="s">
        <v>1063</v>
      </c>
    </row>
    <row r="79" spans="1:13">
      <c r="A79" s="64" t="s">
        <v>305</v>
      </c>
      <c r="B79" s="64" t="s">
        <v>223</v>
      </c>
      <c r="C79" s="64" t="s">
        <v>306</v>
      </c>
      <c r="D79" s="64" t="s">
        <v>298</v>
      </c>
      <c r="E79" s="64" t="s">
        <v>98</v>
      </c>
      <c r="F79" s="66">
        <v>0</v>
      </c>
      <c r="G79" s="66">
        <v>0.7</v>
      </c>
      <c r="H79" s="66">
        <v>0.1</v>
      </c>
      <c r="I79" s="64" t="s">
        <v>307</v>
      </c>
      <c r="J79" s="81">
        <v>10</v>
      </c>
      <c r="K79" s="82">
        <v>7.0000000000000007E-2</v>
      </c>
      <c r="L79" s="64" t="s">
        <v>971</v>
      </c>
      <c r="M79" s="64" t="s">
        <v>1064</v>
      </c>
    </row>
    <row r="80" spans="1:13">
      <c r="A80" s="64" t="s">
        <v>293</v>
      </c>
      <c r="B80" s="64" t="s">
        <v>223</v>
      </c>
      <c r="C80" s="64" t="s">
        <v>294</v>
      </c>
      <c r="D80" s="64" t="s">
        <v>298</v>
      </c>
      <c r="E80" s="64" t="s">
        <v>66</v>
      </c>
      <c r="F80" s="66">
        <v>0</v>
      </c>
      <c r="G80" s="66">
        <v>0</v>
      </c>
      <c r="H80" s="66">
        <v>0</v>
      </c>
      <c r="I80" s="64" t="s">
        <v>295</v>
      </c>
      <c r="J80" s="81">
        <v>18000</v>
      </c>
      <c r="K80" s="82">
        <v>4</v>
      </c>
      <c r="L80" s="64" t="s">
        <v>971</v>
      </c>
      <c r="M80" s="64" t="s">
        <v>1065</v>
      </c>
    </row>
    <row r="81" spans="1:13">
      <c r="A81" s="64" t="s">
        <v>286</v>
      </c>
      <c r="B81" s="64" t="s">
        <v>223</v>
      </c>
      <c r="C81" s="64" t="s">
        <v>287</v>
      </c>
      <c r="D81" s="64" t="s">
        <v>65</v>
      </c>
      <c r="E81" s="64" t="s">
        <v>66</v>
      </c>
      <c r="F81" s="66">
        <v>0</v>
      </c>
      <c r="G81" s="66">
        <v>0.5</v>
      </c>
      <c r="H81" s="66">
        <v>0.02</v>
      </c>
      <c r="I81" s="64" t="s">
        <v>126</v>
      </c>
      <c r="J81" s="81">
        <v>12</v>
      </c>
      <c r="K81" s="82">
        <v>0.03</v>
      </c>
      <c r="L81" s="64" t="s">
        <v>971</v>
      </c>
      <c r="M81" s="64" t="s">
        <v>1066</v>
      </c>
    </row>
    <row r="82" spans="1:13">
      <c r="A82" s="64" t="s">
        <v>284</v>
      </c>
      <c r="B82" s="64" t="s">
        <v>223</v>
      </c>
      <c r="C82" s="64" t="s">
        <v>285</v>
      </c>
      <c r="D82" s="64" t="s">
        <v>65</v>
      </c>
      <c r="E82" s="64" t="s">
        <v>66</v>
      </c>
      <c r="F82" s="66">
        <v>0</v>
      </c>
      <c r="G82" s="66">
        <v>0.52</v>
      </c>
      <c r="H82" s="66">
        <v>0</v>
      </c>
      <c r="I82" s="64" t="s">
        <v>126</v>
      </c>
      <c r="J82" s="81">
        <v>25</v>
      </c>
      <c r="K82" s="82">
        <v>0.04</v>
      </c>
      <c r="L82" s="64" t="s">
        <v>971</v>
      </c>
      <c r="M82" s="64" t="s">
        <v>1067</v>
      </c>
    </row>
    <row r="83" spans="1:13">
      <c r="A83" s="64" t="s">
        <v>288</v>
      </c>
      <c r="B83" s="64" t="s">
        <v>223</v>
      </c>
      <c r="C83" s="64" t="s">
        <v>289</v>
      </c>
      <c r="D83" s="64" t="s">
        <v>65</v>
      </c>
      <c r="E83" s="64" t="s">
        <v>286</v>
      </c>
      <c r="F83" s="66">
        <v>0</v>
      </c>
      <c r="G83" s="66">
        <v>0.38</v>
      </c>
      <c r="H83" s="66">
        <v>0.02</v>
      </c>
      <c r="I83" s="64" t="s">
        <v>148</v>
      </c>
      <c r="J83" s="81">
        <v>5</v>
      </c>
      <c r="K83" s="82">
        <v>0.02</v>
      </c>
      <c r="L83" s="64" t="s">
        <v>971</v>
      </c>
      <c r="M83" s="64" t="s">
        <v>1068</v>
      </c>
    </row>
    <row r="84" spans="1:13">
      <c r="A84" s="64" t="s">
        <v>290</v>
      </c>
      <c r="B84" s="64" t="s">
        <v>223</v>
      </c>
      <c r="C84" s="64" t="s">
        <v>291</v>
      </c>
      <c r="D84" s="64" t="s">
        <v>292</v>
      </c>
      <c r="E84" s="64" t="s">
        <v>66</v>
      </c>
      <c r="F84" s="66">
        <v>0</v>
      </c>
      <c r="G84" s="66">
        <v>0.2</v>
      </c>
      <c r="H84" s="66">
        <v>0</v>
      </c>
      <c r="I84" s="64" t="s">
        <v>307</v>
      </c>
      <c r="J84" s="81">
        <v>35</v>
      </c>
      <c r="K84" s="82">
        <v>0.3</v>
      </c>
      <c r="L84" s="64" t="s">
        <v>971</v>
      </c>
      <c r="M84" s="64" t="s">
        <v>1069</v>
      </c>
    </row>
    <row r="85" spans="1:13">
      <c r="A85" s="55" t="s">
        <v>308</v>
      </c>
      <c r="B85" s="55" t="s">
        <v>309</v>
      </c>
      <c r="C85" s="55" t="s">
        <v>310</v>
      </c>
      <c r="D85" s="55" t="s">
        <v>292</v>
      </c>
      <c r="E85" s="55" t="s">
        <v>98</v>
      </c>
      <c r="F85" s="57">
        <v>-0.04</v>
      </c>
      <c r="G85" s="57">
        <v>0.7</v>
      </c>
      <c r="H85" s="57">
        <v>0.06</v>
      </c>
      <c r="I85" s="55" t="s">
        <v>311</v>
      </c>
      <c r="J85" s="83">
        <v>5</v>
      </c>
      <c r="K85" s="84">
        <v>0.04</v>
      </c>
      <c r="L85" s="55" t="s">
        <v>971</v>
      </c>
      <c r="M85" s="55" t="s">
        <v>1070</v>
      </c>
    </row>
    <row r="86" spans="1:13">
      <c r="A86" s="55" t="s">
        <v>312</v>
      </c>
      <c r="B86" s="55" t="s">
        <v>309</v>
      </c>
      <c r="C86" s="55" t="s">
        <v>313</v>
      </c>
      <c r="D86" s="55" t="s">
        <v>292</v>
      </c>
      <c r="E86" s="55" t="s">
        <v>72</v>
      </c>
      <c r="F86" s="57">
        <v>-0.08</v>
      </c>
      <c r="G86" s="57">
        <v>0.78</v>
      </c>
      <c r="H86" s="57">
        <v>0.02</v>
      </c>
      <c r="I86" s="55" t="s">
        <v>311</v>
      </c>
      <c r="J86" s="83">
        <v>8</v>
      </c>
      <c r="K86" s="84">
        <v>0.05</v>
      </c>
      <c r="L86" s="55" t="s">
        <v>971</v>
      </c>
      <c r="M86" s="55" t="s">
        <v>1070</v>
      </c>
    </row>
    <row r="87" spans="1:13">
      <c r="A87" s="55" t="s">
        <v>314</v>
      </c>
      <c r="B87" s="55" t="s">
        <v>309</v>
      </c>
      <c r="C87" s="55" t="s">
        <v>315</v>
      </c>
      <c r="D87" s="55" t="s">
        <v>292</v>
      </c>
      <c r="E87" s="55" t="s">
        <v>146</v>
      </c>
      <c r="F87" s="57">
        <v>-0.08</v>
      </c>
      <c r="G87" s="57">
        <v>0.57999999999999996</v>
      </c>
      <c r="H87" s="57">
        <v>0.04</v>
      </c>
      <c r="I87" s="55" t="s">
        <v>311</v>
      </c>
      <c r="J87" s="83">
        <v>20</v>
      </c>
      <c r="K87" s="84">
        <v>0.06</v>
      </c>
      <c r="L87" s="55" t="s">
        <v>971</v>
      </c>
      <c r="M87" s="55" t="s">
        <v>1071</v>
      </c>
    </row>
    <row r="88" spans="1:13">
      <c r="A88" s="55" t="s">
        <v>316</v>
      </c>
      <c r="B88" s="55" t="s">
        <v>309</v>
      </c>
      <c r="C88" s="55" t="s">
        <v>317</v>
      </c>
      <c r="D88" s="55" t="s">
        <v>292</v>
      </c>
      <c r="E88" s="55" t="s">
        <v>983</v>
      </c>
      <c r="F88" s="57">
        <v>0</v>
      </c>
      <c r="G88" s="57">
        <v>0.55000000000000004</v>
      </c>
      <c r="H88" s="57">
        <v>-0.02</v>
      </c>
      <c r="I88" s="55" t="s">
        <v>311</v>
      </c>
      <c r="J88" s="83">
        <v>34</v>
      </c>
      <c r="K88" s="84">
        <v>0.35</v>
      </c>
      <c r="L88" s="55" t="s">
        <v>971</v>
      </c>
      <c r="M88" s="55" t="s">
        <v>1072</v>
      </c>
    </row>
    <row r="89" spans="1:13">
      <c r="A89" s="55" t="s">
        <v>318</v>
      </c>
      <c r="B89" s="55" t="s">
        <v>309</v>
      </c>
      <c r="C89" s="55" t="s">
        <v>319</v>
      </c>
      <c r="D89" s="55" t="s">
        <v>292</v>
      </c>
      <c r="E89" s="55" t="s">
        <v>146</v>
      </c>
      <c r="F89" s="57">
        <v>-0.12</v>
      </c>
      <c r="G89" s="57">
        <v>0.45</v>
      </c>
      <c r="H89" s="57">
        <v>0.06</v>
      </c>
      <c r="I89" s="55" t="s">
        <v>311</v>
      </c>
      <c r="J89" s="83">
        <v>20</v>
      </c>
      <c r="K89" s="84">
        <v>0.3</v>
      </c>
      <c r="L89" s="55" t="s">
        <v>971</v>
      </c>
      <c r="M89" s="55" t="s">
        <v>1073</v>
      </c>
    </row>
    <row r="90" spans="1:13">
      <c r="A90" s="55" t="s">
        <v>320</v>
      </c>
      <c r="B90" s="55" t="s">
        <v>309</v>
      </c>
      <c r="C90" s="55" t="s">
        <v>321</v>
      </c>
      <c r="D90" s="55" t="s">
        <v>292</v>
      </c>
      <c r="E90" s="55" t="s">
        <v>991</v>
      </c>
      <c r="F90" s="57">
        <v>-0.1</v>
      </c>
      <c r="G90" s="57">
        <v>0.42</v>
      </c>
      <c r="H90" s="57">
        <v>0.04</v>
      </c>
      <c r="I90" s="55" t="s">
        <v>311</v>
      </c>
      <c r="J90" s="83">
        <v>12</v>
      </c>
      <c r="K90" s="84">
        <v>0.08</v>
      </c>
      <c r="L90" s="55" t="s">
        <v>971</v>
      </c>
      <c r="M90" s="55" t="s">
        <v>1074</v>
      </c>
    </row>
    <row r="91" spans="1:13">
      <c r="A91" s="55" t="s">
        <v>330</v>
      </c>
      <c r="B91" s="55" t="s">
        <v>309</v>
      </c>
      <c r="C91" s="55" t="s">
        <v>331</v>
      </c>
      <c r="D91" s="55" t="s">
        <v>292</v>
      </c>
      <c r="E91" s="55" t="s">
        <v>985</v>
      </c>
      <c r="F91" s="57">
        <v>-0.18</v>
      </c>
      <c r="G91" s="57">
        <v>0.35</v>
      </c>
      <c r="H91" s="57">
        <v>-0.04</v>
      </c>
      <c r="I91" s="55" t="s">
        <v>311</v>
      </c>
      <c r="J91" s="83">
        <v>38</v>
      </c>
      <c r="K91" s="84">
        <v>0.5</v>
      </c>
      <c r="L91" s="55" t="s">
        <v>971</v>
      </c>
      <c r="M91" s="55" t="s">
        <v>1075</v>
      </c>
    </row>
    <row r="92" spans="1:13">
      <c r="A92" s="55" t="s">
        <v>370</v>
      </c>
      <c r="B92" s="55" t="s">
        <v>309</v>
      </c>
      <c r="C92" s="55" t="s">
        <v>371</v>
      </c>
      <c r="D92" s="55" t="s">
        <v>292</v>
      </c>
      <c r="E92" s="55" t="s">
        <v>991</v>
      </c>
      <c r="F92" s="57">
        <v>-0.14000000000000001</v>
      </c>
      <c r="G92" s="57">
        <v>0.4</v>
      </c>
      <c r="H92" s="57">
        <v>0.04</v>
      </c>
      <c r="I92" s="55" t="s">
        <v>311</v>
      </c>
      <c r="J92" s="83">
        <v>22</v>
      </c>
      <c r="K92" s="84">
        <v>0.1</v>
      </c>
      <c r="L92" s="55" t="s">
        <v>971</v>
      </c>
      <c r="M92" s="55" t="s">
        <v>1076</v>
      </c>
    </row>
    <row r="93" spans="1:13">
      <c r="A93" s="55" t="s">
        <v>332</v>
      </c>
      <c r="B93" s="55" t="s">
        <v>309</v>
      </c>
      <c r="C93" s="55" t="s">
        <v>333</v>
      </c>
      <c r="D93" s="55" t="s">
        <v>292</v>
      </c>
      <c r="E93" s="55" t="s">
        <v>985</v>
      </c>
      <c r="F93" s="57">
        <v>0</v>
      </c>
      <c r="G93" s="57">
        <v>0.3</v>
      </c>
      <c r="H93" s="57">
        <v>-0.04</v>
      </c>
      <c r="I93" s="55" t="s">
        <v>311</v>
      </c>
      <c r="J93" s="83">
        <v>60</v>
      </c>
      <c r="K93" s="84">
        <v>0.8</v>
      </c>
      <c r="L93" s="55" t="s">
        <v>971</v>
      </c>
      <c r="M93" s="55" t="s">
        <v>1077</v>
      </c>
    </row>
    <row r="94" spans="1:13">
      <c r="A94" s="55" t="s">
        <v>383</v>
      </c>
      <c r="B94" s="55" t="s">
        <v>309</v>
      </c>
      <c r="C94" s="55" t="s">
        <v>384</v>
      </c>
      <c r="D94" s="55" t="s">
        <v>292</v>
      </c>
      <c r="E94" s="55" t="s">
        <v>985</v>
      </c>
      <c r="F94" s="57">
        <v>-0.14000000000000001</v>
      </c>
      <c r="G94" s="57">
        <v>0.45</v>
      </c>
      <c r="H94" s="57">
        <v>-0.02</v>
      </c>
      <c r="I94" s="55" t="s">
        <v>311</v>
      </c>
      <c r="J94" s="83">
        <v>15</v>
      </c>
      <c r="K94" s="84">
        <v>0.08</v>
      </c>
      <c r="L94" s="55" t="s">
        <v>971</v>
      </c>
      <c r="M94" s="55" t="s">
        <v>1078</v>
      </c>
    </row>
    <row r="95" spans="1:13">
      <c r="A95" s="55" t="s">
        <v>322</v>
      </c>
      <c r="B95" s="55" t="s">
        <v>309</v>
      </c>
      <c r="C95" s="55" t="s">
        <v>323</v>
      </c>
      <c r="D95" s="55" t="s">
        <v>292</v>
      </c>
      <c r="E95" s="55" t="s">
        <v>146</v>
      </c>
      <c r="F95" s="57">
        <v>0</v>
      </c>
      <c r="G95" s="57">
        <v>0.25</v>
      </c>
      <c r="H95" s="57">
        <v>0.04</v>
      </c>
      <c r="I95" s="55" t="s">
        <v>311</v>
      </c>
      <c r="J95" s="83">
        <v>35</v>
      </c>
      <c r="K95" s="84">
        <v>0.25</v>
      </c>
      <c r="L95" s="55" t="s">
        <v>971</v>
      </c>
      <c r="M95" s="55" t="s">
        <v>1079</v>
      </c>
    </row>
    <row r="96" spans="1:13">
      <c r="A96" s="55" t="s">
        <v>324</v>
      </c>
      <c r="B96" s="55" t="s">
        <v>309</v>
      </c>
      <c r="C96" s="55" t="s">
        <v>325</v>
      </c>
      <c r="D96" s="55" t="s">
        <v>292</v>
      </c>
      <c r="E96" s="55" t="s">
        <v>991</v>
      </c>
      <c r="F96" s="57">
        <v>-0.12</v>
      </c>
      <c r="G96" s="57">
        <v>0.22</v>
      </c>
      <c r="H96" s="57">
        <v>0.02</v>
      </c>
      <c r="I96" s="55" t="s">
        <v>311</v>
      </c>
      <c r="J96" s="83">
        <v>26</v>
      </c>
      <c r="K96" s="84">
        <v>0.18</v>
      </c>
      <c r="L96" s="55" t="s">
        <v>971</v>
      </c>
      <c r="M96" s="55" t="s">
        <v>1080</v>
      </c>
    </row>
    <row r="97" spans="1:13">
      <c r="A97" s="55" t="s">
        <v>326</v>
      </c>
      <c r="B97" s="55" t="s">
        <v>309</v>
      </c>
      <c r="C97" s="55" t="s">
        <v>327</v>
      </c>
      <c r="D97" s="55" t="s">
        <v>292</v>
      </c>
      <c r="E97" s="55" t="s">
        <v>991</v>
      </c>
      <c r="F97" s="57">
        <v>-0.1</v>
      </c>
      <c r="G97" s="57">
        <v>0.2</v>
      </c>
      <c r="H97" s="57">
        <v>0</v>
      </c>
      <c r="I97" s="55" t="s">
        <v>311</v>
      </c>
      <c r="J97" s="83">
        <v>22</v>
      </c>
      <c r="K97" s="84">
        <v>0.15</v>
      </c>
      <c r="L97" s="55" t="s">
        <v>971</v>
      </c>
      <c r="M97" s="55" t="s">
        <v>1080</v>
      </c>
    </row>
    <row r="98" spans="1:13">
      <c r="A98" s="55" t="s">
        <v>328</v>
      </c>
      <c r="B98" s="55" t="s">
        <v>309</v>
      </c>
      <c r="C98" s="55" t="s">
        <v>329</v>
      </c>
      <c r="D98" s="55" t="s">
        <v>292</v>
      </c>
      <c r="E98" s="55" t="s">
        <v>66</v>
      </c>
      <c r="F98" s="57">
        <v>0</v>
      </c>
      <c r="G98" s="57">
        <v>0.15</v>
      </c>
      <c r="H98" s="57">
        <v>0.02</v>
      </c>
      <c r="I98" s="55" t="s">
        <v>311</v>
      </c>
      <c r="J98" s="83">
        <v>30</v>
      </c>
      <c r="K98" s="84">
        <v>0.12</v>
      </c>
      <c r="L98" s="55" t="s">
        <v>971</v>
      </c>
      <c r="M98" s="55" t="s">
        <v>1081</v>
      </c>
    </row>
    <row r="99" spans="1:13">
      <c r="A99" s="55" t="s">
        <v>368</v>
      </c>
      <c r="B99" s="55" t="s">
        <v>309</v>
      </c>
      <c r="C99" s="55" t="s">
        <v>369</v>
      </c>
      <c r="D99" s="55" t="s">
        <v>292</v>
      </c>
      <c r="E99" s="55" t="s">
        <v>154</v>
      </c>
      <c r="F99" s="57">
        <v>-0.2</v>
      </c>
      <c r="G99" s="57">
        <v>0.5</v>
      </c>
      <c r="H99" s="57">
        <v>0</v>
      </c>
      <c r="I99" s="55" t="s">
        <v>311</v>
      </c>
      <c r="J99" s="83">
        <v>18</v>
      </c>
      <c r="K99" s="84">
        <v>0.2</v>
      </c>
      <c r="L99" s="55" t="s">
        <v>971</v>
      </c>
      <c r="M99" s="55" t="s">
        <v>1082</v>
      </c>
    </row>
    <row r="100" spans="1:13">
      <c r="A100" s="55" t="s">
        <v>387</v>
      </c>
      <c r="B100" s="55" t="s">
        <v>309</v>
      </c>
      <c r="C100" s="55" t="s">
        <v>388</v>
      </c>
      <c r="D100" s="55" t="s">
        <v>292</v>
      </c>
      <c r="E100" s="55" t="s">
        <v>154</v>
      </c>
      <c r="F100" s="57">
        <v>-0.18</v>
      </c>
      <c r="G100" s="57">
        <v>0.48</v>
      </c>
      <c r="H100" s="57">
        <v>-0.04</v>
      </c>
      <c r="I100" s="55" t="s">
        <v>311</v>
      </c>
      <c r="J100" s="83">
        <v>8</v>
      </c>
      <c r="K100" s="84">
        <v>0.05</v>
      </c>
      <c r="L100" s="55" t="s">
        <v>971</v>
      </c>
      <c r="M100" s="55" t="s">
        <v>1083</v>
      </c>
    </row>
    <row r="101" spans="1:13">
      <c r="A101" s="55" t="s">
        <v>389</v>
      </c>
      <c r="B101" s="55" t="s">
        <v>309</v>
      </c>
      <c r="C101" s="55" t="s">
        <v>390</v>
      </c>
      <c r="D101" s="55" t="s">
        <v>292</v>
      </c>
      <c r="E101" s="55" t="s">
        <v>154</v>
      </c>
      <c r="F101" s="57">
        <v>-0.18</v>
      </c>
      <c r="G101" s="57">
        <v>0.46</v>
      </c>
      <c r="H101" s="57">
        <v>-0.04</v>
      </c>
      <c r="I101" s="55" t="s">
        <v>311</v>
      </c>
      <c r="J101" s="83">
        <v>12</v>
      </c>
      <c r="K101" s="84">
        <v>0.08</v>
      </c>
      <c r="L101" s="55" t="s">
        <v>971</v>
      </c>
      <c r="M101" s="55" t="s">
        <v>1084</v>
      </c>
    </row>
    <row r="102" spans="1:13">
      <c r="A102" s="55" t="s">
        <v>395</v>
      </c>
      <c r="B102" s="55" t="s">
        <v>309</v>
      </c>
      <c r="C102" s="55" t="s">
        <v>396</v>
      </c>
      <c r="D102" s="55" t="s">
        <v>292</v>
      </c>
      <c r="E102" s="55" t="s">
        <v>154</v>
      </c>
      <c r="F102" s="57">
        <v>-0.18</v>
      </c>
      <c r="G102" s="57">
        <v>0.4</v>
      </c>
      <c r="H102" s="57">
        <v>-0.04</v>
      </c>
      <c r="I102" s="55" t="s">
        <v>311</v>
      </c>
      <c r="J102" s="83">
        <v>14</v>
      </c>
      <c r="K102" s="84">
        <v>0.1</v>
      </c>
      <c r="L102" s="55" t="s">
        <v>971</v>
      </c>
      <c r="M102" s="55" t="s">
        <v>1085</v>
      </c>
    </row>
    <row r="103" spans="1:13">
      <c r="A103" s="55" t="s">
        <v>391</v>
      </c>
      <c r="B103" s="55" t="s">
        <v>309</v>
      </c>
      <c r="C103" s="55" t="s">
        <v>392</v>
      </c>
      <c r="D103" s="55" t="s">
        <v>292</v>
      </c>
      <c r="E103" s="55" t="s">
        <v>154</v>
      </c>
      <c r="F103" s="57">
        <v>-0.18</v>
      </c>
      <c r="G103" s="57">
        <v>0.44</v>
      </c>
      <c r="H103" s="57">
        <v>-0.04</v>
      </c>
      <c r="I103" s="55" t="s">
        <v>311</v>
      </c>
      <c r="J103" s="83">
        <v>10</v>
      </c>
      <c r="K103" s="84">
        <v>0.06</v>
      </c>
      <c r="L103" s="55" t="s">
        <v>971</v>
      </c>
      <c r="M103" s="55" t="s">
        <v>1073</v>
      </c>
    </row>
    <row r="104" spans="1:13">
      <c r="A104" s="55" t="s">
        <v>393</v>
      </c>
      <c r="B104" s="55" t="s">
        <v>309</v>
      </c>
      <c r="C104" s="55" t="s">
        <v>394</v>
      </c>
      <c r="D104" s="55" t="s">
        <v>292</v>
      </c>
      <c r="E104" s="55" t="s">
        <v>154</v>
      </c>
      <c r="F104" s="57">
        <v>-0.18</v>
      </c>
      <c r="G104" s="57">
        <v>0.42</v>
      </c>
      <c r="H104" s="57">
        <v>-0.04</v>
      </c>
      <c r="I104" s="55" t="s">
        <v>311</v>
      </c>
      <c r="J104" s="83">
        <v>8</v>
      </c>
      <c r="K104" s="84">
        <v>0.04</v>
      </c>
      <c r="L104" s="55" t="s">
        <v>971</v>
      </c>
      <c r="M104" s="55" t="s">
        <v>1084</v>
      </c>
    </row>
    <row r="105" spans="1:13">
      <c r="A105" s="55" t="s">
        <v>334</v>
      </c>
      <c r="B105" s="55" t="s">
        <v>309</v>
      </c>
      <c r="C105" s="55" t="s">
        <v>335</v>
      </c>
      <c r="D105" s="55" t="s">
        <v>292</v>
      </c>
      <c r="E105" s="55" t="s">
        <v>154</v>
      </c>
      <c r="F105" s="57">
        <v>-0.22</v>
      </c>
      <c r="G105" s="57">
        <v>0.42</v>
      </c>
      <c r="H105" s="57">
        <v>0</v>
      </c>
      <c r="I105" s="55" t="s">
        <v>311</v>
      </c>
      <c r="J105" s="83">
        <v>28</v>
      </c>
      <c r="K105" s="84">
        <v>0.3</v>
      </c>
      <c r="L105" s="55" t="s">
        <v>971</v>
      </c>
      <c r="M105" s="55" t="s">
        <v>1086</v>
      </c>
    </row>
    <row r="106" spans="1:13">
      <c r="A106" s="55" t="s">
        <v>336</v>
      </c>
      <c r="B106" s="55" t="s">
        <v>309</v>
      </c>
      <c r="C106" s="55" t="s">
        <v>337</v>
      </c>
      <c r="D106" s="55" t="s">
        <v>292</v>
      </c>
      <c r="E106" s="55" t="s">
        <v>154</v>
      </c>
      <c r="F106" s="57">
        <v>-0.22</v>
      </c>
      <c r="G106" s="57">
        <v>0.38</v>
      </c>
      <c r="H106" s="57">
        <v>0</v>
      </c>
      <c r="I106" s="55" t="s">
        <v>311</v>
      </c>
      <c r="J106" s="83">
        <v>32</v>
      </c>
      <c r="K106" s="84">
        <v>0.35</v>
      </c>
      <c r="L106" s="55" t="s">
        <v>971</v>
      </c>
      <c r="M106" s="55" t="s">
        <v>1087</v>
      </c>
    </row>
    <row r="107" spans="1:13">
      <c r="A107" s="55" t="s">
        <v>338</v>
      </c>
      <c r="B107" s="55" t="s">
        <v>309</v>
      </c>
      <c r="C107" s="55" t="s">
        <v>339</v>
      </c>
      <c r="D107" s="55" t="s">
        <v>292</v>
      </c>
      <c r="E107" s="55" t="s">
        <v>159</v>
      </c>
      <c r="F107" s="57">
        <v>-0.26</v>
      </c>
      <c r="G107" s="57">
        <v>0.32</v>
      </c>
      <c r="H107" s="57">
        <v>0</v>
      </c>
      <c r="I107" s="55" t="s">
        <v>311</v>
      </c>
      <c r="J107" s="83">
        <v>12</v>
      </c>
      <c r="K107" s="84">
        <v>0.1</v>
      </c>
      <c r="L107" s="55" t="s">
        <v>971</v>
      </c>
      <c r="M107" s="55" t="s">
        <v>1086</v>
      </c>
    </row>
    <row r="108" spans="1:13">
      <c r="A108" s="55" t="s">
        <v>340</v>
      </c>
      <c r="B108" s="55" t="s">
        <v>309</v>
      </c>
      <c r="C108" s="55" t="s">
        <v>341</v>
      </c>
      <c r="D108" s="55" t="s">
        <v>292</v>
      </c>
      <c r="E108" s="55" t="s">
        <v>159</v>
      </c>
      <c r="F108" s="57">
        <v>-0.28000000000000003</v>
      </c>
      <c r="G108" s="57">
        <v>0.28000000000000003</v>
      </c>
      <c r="H108" s="57">
        <v>0</v>
      </c>
      <c r="I108" s="55" t="s">
        <v>311</v>
      </c>
      <c r="J108" s="83">
        <v>18</v>
      </c>
      <c r="K108" s="84">
        <v>0.08</v>
      </c>
      <c r="L108" s="55" t="s">
        <v>971</v>
      </c>
      <c r="M108" s="55" t="s">
        <v>1088</v>
      </c>
    </row>
    <row r="109" spans="1:13">
      <c r="A109" s="55" t="s">
        <v>342</v>
      </c>
      <c r="B109" s="55" t="s">
        <v>309</v>
      </c>
      <c r="C109" s="55" t="s">
        <v>343</v>
      </c>
      <c r="D109" s="55" t="s">
        <v>292</v>
      </c>
      <c r="E109" s="55" t="s">
        <v>164</v>
      </c>
      <c r="F109" s="57">
        <v>-0.3</v>
      </c>
      <c r="G109" s="57">
        <v>0.18</v>
      </c>
      <c r="H109" s="57">
        <v>0</v>
      </c>
      <c r="I109" s="55" t="s">
        <v>311</v>
      </c>
      <c r="J109" s="83">
        <v>15</v>
      </c>
      <c r="K109" s="84">
        <v>0.05</v>
      </c>
      <c r="L109" s="55" t="s">
        <v>971</v>
      </c>
      <c r="M109" s="55" t="s">
        <v>1089</v>
      </c>
    </row>
    <row r="110" spans="1:13">
      <c r="A110" s="55" t="s">
        <v>344</v>
      </c>
      <c r="B110" s="55" t="s">
        <v>309</v>
      </c>
      <c r="C110" s="55" t="s">
        <v>345</v>
      </c>
      <c r="D110" s="55" t="s">
        <v>292</v>
      </c>
      <c r="E110" s="55" t="s">
        <v>169</v>
      </c>
      <c r="F110" s="57">
        <v>-0.3</v>
      </c>
      <c r="G110" s="57">
        <v>0.18</v>
      </c>
      <c r="H110" s="57">
        <v>0</v>
      </c>
      <c r="I110" s="55" t="s">
        <v>311</v>
      </c>
      <c r="J110" s="83">
        <v>15</v>
      </c>
      <c r="K110" s="84">
        <v>0.05</v>
      </c>
      <c r="L110" s="55" t="s">
        <v>971</v>
      </c>
      <c r="M110" s="55" t="s">
        <v>1089</v>
      </c>
    </row>
    <row r="111" spans="1:13">
      <c r="A111" s="55" t="s">
        <v>346</v>
      </c>
      <c r="B111" s="55" t="s">
        <v>309</v>
      </c>
      <c r="C111" s="55" t="s">
        <v>347</v>
      </c>
      <c r="D111" s="55" t="s">
        <v>292</v>
      </c>
      <c r="E111" s="55" t="s">
        <v>164</v>
      </c>
      <c r="F111" s="57">
        <v>-0.3</v>
      </c>
      <c r="G111" s="57">
        <v>0.15</v>
      </c>
      <c r="H111" s="57">
        <v>0</v>
      </c>
      <c r="I111" s="55" t="s">
        <v>311</v>
      </c>
      <c r="J111" s="83">
        <v>14</v>
      </c>
      <c r="K111" s="84">
        <v>0.04</v>
      </c>
      <c r="L111" s="55" t="s">
        <v>971</v>
      </c>
      <c r="M111" s="55" t="s">
        <v>1090</v>
      </c>
    </row>
    <row r="112" spans="1:13">
      <c r="A112" s="55" t="s">
        <v>348</v>
      </c>
      <c r="B112" s="55" t="s">
        <v>309</v>
      </c>
      <c r="C112" s="55" t="s">
        <v>349</v>
      </c>
      <c r="D112" s="55" t="s">
        <v>292</v>
      </c>
      <c r="E112" s="55" t="s">
        <v>169</v>
      </c>
      <c r="F112" s="57">
        <v>-0.3</v>
      </c>
      <c r="G112" s="57">
        <v>0.15</v>
      </c>
      <c r="H112" s="57">
        <v>0</v>
      </c>
      <c r="I112" s="55" t="s">
        <v>311</v>
      </c>
      <c r="J112" s="83">
        <v>14</v>
      </c>
      <c r="K112" s="84">
        <v>0.04</v>
      </c>
      <c r="L112" s="55" t="s">
        <v>971</v>
      </c>
      <c r="M112" s="55" t="s">
        <v>1090</v>
      </c>
    </row>
    <row r="113" spans="1:13">
      <c r="A113" s="55" t="s">
        <v>354</v>
      </c>
      <c r="B113" s="55" t="s">
        <v>309</v>
      </c>
      <c r="C113" s="55" t="s">
        <v>355</v>
      </c>
      <c r="D113" s="55" t="s">
        <v>292</v>
      </c>
      <c r="E113" s="55" t="s">
        <v>188</v>
      </c>
      <c r="F113" s="57">
        <v>-0.14000000000000001</v>
      </c>
      <c r="G113" s="57">
        <v>-0.02</v>
      </c>
      <c r="H113" s="57">
        <v>-0.02</v>
      </c>
      <c r="I113" s="55" t="s">
        <v>311</v>
      </c>
      <c r="J113" s="83">
        <v>25</v>
      </c>
      <c r="K113" s="84">
        <v>0.85</v>
      </c>
      <c r="L113" s="55" t="s">
        <v>971</v>
      </c>
      <c r="M113" s="55" t="s">
        <v>1091</v>
      </c>
    </row>
    <row r="114" spans="1:13">
      <c r="A114" s="55" t="s">
        <v>356</v>
      </c>
      <c r="B114" s="55" t="s">
        <v>309</v>
      </c>
      <c r="C114" s="55" t="s">
        <v>357</v>
      </c>
      <c r="D114" s="55" t="s">
        <v>292</v>
      </c>
      <c r="E114" s="55" t="s">
        <v>188</v>
      </c>
      <c r="F114" s="57">
        <v>-0.12</v>
      </c>
      <c r="G114" s="57">
        <v>-0.04</v>
      </c>
      <c r="H114" s="57">
        <v>-0.02</v>
      </c>
      <c r="I114" s="55" t="s">
        <v>311</v>
      </c>
      <c r="J114" s="83">
        <v>15</v>
      </c>
      <c r="K114" s="84">
        <v>0.3</v>
      </c>
      <c r="L114" s="55" t="s">
        <v>971</v>
      </c>
      <c r="M114" s="55" t="s">
        <v>1092</v>
      </c>
    </row>
    <row r="115" spans="1:13">
      <c r="A115" s="55" t="s">
        <v>358</v>
      </c>
      <c r="B115" s="55" t="s">
        <v>309</v>
      </c>
      <c r="C115" s="55" t="s">
        <v>359</v>
      </c>
      <c r="D115" s="55" t="s">
        <v>292</v>
      </c>
      <c r="E115" s="55" t="s">
        <v>188</v>
      </c>
      <c r="F115" s="57">
        <v>-0.12</v>
      </c>
      <c r="G115" s="57">
        <v>-0.06</v>
      </c>
      <c r="H115" s="57">
        <v>-0.02</v>
      </c>
      <c r="I115" s="55" t="s">
        <v>311</v>
      </c>
      <c r="J115" s="83">
        <v>12</v>
      </c>
      <c r="K115" s="84">
        <v>0.15</v>
      </c>
      <c r="L115" s="55" t="s">
        <v>971</v>
      </c>
      <c r="M115" s="55" t="s">
        <v>1092</v>
      </c>
    </row>
    <row r="116" spans="1:13">
      <c r="A116" s="55" t="s">
        <v>401</v>
      </c>
      <c r="B116" s="55" t="s">
        <v>309</v>
      </c>
      <c r="C116" s="55" t="s">
        <v>402</v>
      </c>
      <c r="D116" s="55" t="s">
        <v>292</v>
      </c>
      <c r="E116" s="55" t="s">
        <v>987</v>
      </c>
      <c r="F116" s="57">
        <v>-0.08</v>
      </c>
      <c r="G116" s="57">
        <v>-0.05</v>
      </c>
      <c r="H116" s="57">
        <v>0</v>
      </c>
      <c r="I116" s="55" t="s">
        <v>311</v>
      </c>
      <c r="J116" s="83">
        <v>25</v>
      </c>
      <c r="K116" s="84">
        <v>0.2</v>
      </c>
      <c r="L116" s="55" t="s">
        <v>971</v>
      </c>
      <c r="M116" s="55" t="s">
        <v>1093</v>
      </c>
    </row>
    <row r="117" spans="1:13">
      <c r="A117" s="55" t="s">
        <v>350</v>
      </c>
      <c r="B117" s="55" t="s">
        <v>309</v>
      </c>
      <c r="C117" s="55" t="s">
        <v>351</v>
      </c>
      <c r="D117" s="55" t="s">
        <v>292</v>
      </c>
      <c r="E117" s="55" t="s">
        <v>188</v>
      </c>
      <c r="F117" s="57">
        <v>-0.14000000000000001</v>
      </c>
      <c r="G117" s="57">
        <v>-0.15</v>
      </c>
      <c r="H117" s="57">
        <v>0</v>
      </c>
      <c r="I117" s="55" t="s">
        <v>311</v>
      </c>
      <c r="J117" s="83">
        <v>45</v>
      </c>
      <c r="K117" s="84">
        <v>1.4</v>
      </c>
      <c r="L117" s="55" t="s">
        <v>971</v>
      </c>
      <c r="M117" s="55" t="s">
        <v>1094</v>
      </c>
    </row>
    <row r="118" spans="1:13">
      <c r="A118" s="55" t="s">
        <v>403</v>
      </c>
      <c r="B118" s="55" t="s">
        <v>309</v>
      </c>
      <c r="C118" s="55" t="s">
        <v>404</v>
      </c>
      <c r="D118" s="55" t="s">
        <v>292</v>
      </c>
      <c r="E118" s="55" t="s">
        <v>188</v>
      </c>
      <c r="F118" s="57">
        <v>-0.14000000000000001</v>
      </c>
      <c r="G118" s="57">
        <v>-0.12</v>
      </c>
      <c r="H118" s="57">
        <v>0</v>
      </c>
      <c r="I118" s="55" t="s">
        <v>311</v>
      </c>
      <c r="J118" s="83">
        <v>35</v>
      </c>
      <c r="K118" s="84">
        <v>0.35</v>
      </c>
      <c r="L118" s="55" t="s">
        <v>971</v>
      </c>
      <c r="M118" s="55" t="s">
        <v>1094</v>
      </c>
    </row>
    <row r="119" spans="1:13">
      <c r="A119" s="55" t="s">
        <v>405</v>
      </c>
      <c r="B119" s="55" t="s">
        <v>309</v>
      </c>
      <c r="C119" s="55" t="s">
        <v>406</v>
      </c>
      <c r="D119" s="55" t="s">
        <v>292</v>
      </c>
      <c r="E119" s="55" t="s">
        <v>192</v>
      </c>
      <c r="F119" s="57">
        <v>-0.16</v>
      </c>
      <c r="G119" s="57">
        <v>-0.25</v>
      </c>
      <c r="H119" s="57">
        <v>0</v>
      </c>
      <c r="I119" s="55" t="s">
        <v>311</v>
      </c>
      <c r="J119" s="83">
        <v>40</v>
      </c>
      <c r="K119" s="84">
        <v>0.4</v>
      </c>
      <c r="L119" s="55" t="s">
        <v>971</v>
      </c>
      <c r="M119" s="55" t="s">
        <v>1094</v>
      </c>
    </row>
    <row r="120" spans="1:13">
      <c r="A120" s="55" t="s">
        <v>407</v>
      </c>
      <c r="B120" s="55" t="s">
        <v>309</v>
      </c>
      <c r="C120" s="55" t="s">
        <v>408</v>
      </c>
      <c r="D120" s="55" t="s">
        <v>292</v>
      </c>
      <c r="E120" s="55" t="s">
        <v>192</v>
      </c>
      <c r="F120" s="57">
        <v>-0.12</v>
      </c>
      <c r="G120" s="57">
        <v>-0.25</v>
      </c>
      <c r="H120" s="57">
        <v>0</v>
      </c>
      <c r="I120" s="55" t="s">
        <v>311</v>
      </c>
      <c r="J120" s="83">
        <v>35</v>
      </c>
      <c r="K120" s="84">
        <v>0.3</v>
      </c>
      <c r="L120" s="55" t="s">
        <v>971</v>
      </c>
      <c r="M120" s="55" t="s">
        <v>1094</v>
      </c>
    </row>
    <row r="121" spans="1:13">
      <c r="A121" s="55" t="s">
        <v>352</v>
      </c>
      <c r="B121" s="55" t="s">
        <v>309</v>
      </c>
      <c r="C121" s="55" t="s">
        <v>353</v>
      </c>
      <c r="D121" s="55" t="s">
        <v>292</v>
      </c>
      <c r="E121" s="55" t="s">
        <v>188</v>
      </c>
      <c r="F121" s="57">
        <v>-0.14000000000000001</v>
      </c>
      <c r="G121" s="57">
        <v>-0.18</v>
      </c>
      <c r="H121" s="57">
        <v>0</v>
      </c>
      <c r="I121" s="55" t="s">
        <v>311</v>
      </c>
      <c r="J121" s="83">
        <v>40</v>
      </c>
      <c r="K121" s="84">
        <v>0.9</v>
      </c>
      <c r="L121" s="55" t="s">
        <v>971</v>
      </c>
      <c r="M121" s="55" t="s">
        <v>1095</v>
      </c>
    </row>
    <row r="122" spans="1:13">
      <c r="A122" s="55" t="s">
        <v>397</v>
      </c>
      <c r="B122" s="55" t="s">
        <v>309</v>
      </c>
      <c r="C122" s="55" t="s">
        <v>398</v>
      </c>
      <c r="D122" s="55" t="s">
        <v>292</v>
      </c>
      <c r="E122" s="55" t="s">
        <v>188</v>
      </c>
      <c r="F122" s="57">
        <v>-0.1</v>
      </c>
      <c r="G122" s="57">
        <v>-0.08</v>
      </c>
      <c r="H122" s="57">
        <v>0</v>
      </c>
      <c r="I122" s="55" t="s">
        <v>311</v>
      </c>
      <c r="J122" s="83">
        <v>30</v>
      </c>
      <c r="K122" s="84">
        <v>0.6</v>
      </c>
      <c r="L122" s="55" t="s">
        <v>971</v>
      </c>
      <c r="M122" s="55" t="s">
        <v>1096</v>
      </c>
    </row>
    <row r="123" spans="1:13">
      <c r="A123" s="55" t="s">
        <v>360</v>
      </c>
      <c r="B123" s="55" t="s">
        <v>309</v>
      </c>
      <c r="C123" s="55" t="s">
        <v>361</v>
      </c>
      <c r="D123" s="55" t="s">
        <v>292</v>
      </c>
      <c r="E123" s="55" t="s">
        <v>192</v>
      </c>
      <c r="F123" s="57">
        <v>-0.16</v>
      </c>
      <c r="G123" s="57">
        <v>-0.5</v>
      </c>
      <c r="H123" s="57">
        <v>0.02</v>
      </c>
      <c r="I123" s="55" t="s">
        <v>311</v>
      </c>
      <c r="J123" s="83">
        <v>25</v>
      </c>
      <c r="K123" s="84">
        <v>0.3</v>
      </c>
      <c r="L123" s="55" t="s">
        <v>971</v>
      </c>
      <c r="M123" s="55" t="s">
        <v>1097</v>
      </c>
    </row>
    <row r="124" spans="1:13">
      <c r="A124" s="55" t="s">
        <v>362</v>
      </c>
      <c r="B124" s="55" t="s">
        <v>309</v>
      </c>
      <c r="C124" s="55" t="s">
        <v>363</v>
      </c>
      <c r="D124" s="55" t="s">
        <v>292</v>
      </c>
      <c r="E124" s="55" t="s">
        <v>192</v>
      </c>
      <c r="F124" s="57">
        <v>-0.16</v>
      </c>
      <c r="G124" s="57">
        <v>-0.55000000000000004</v>
      </c>
      <c r="H124" s="57">
        <v>0.02</v>
      </c>
      <c r="I124" s="55" t="s">
        <v>311</v>
      </c>
      <c r="J124" s="83">
        <v>30</v>
      </c>
      <c r="K124" s="84">
        <v>0.28000000000000003</v>
      </c>
      <c r="L124" s="55" t="s">
        <v>971</v>
      </c>
      <c r="M124" s="55" t="s">
        <v>1097</v>
      </c>
    </row>
    <row r="125" spans="1:13">
      <c r="A125" s="55" t="s">
        <v>364</v>
      </c>
      <c r="B125" s="55" t="s">
        <v>309</v>
      </c>
      <c r="C125" s="55" t="s">
        <v>365</v>
      </c>
      <c r="D125" s="55" t="s">
        <v>292</v>
      </c>
      <c r="E125" s="55" t="s">
        <v>201</v>
      </c>
      <c r="F125" s="57">
        <v>-0.16</v>
      </c>
      <c r="G125" s="57">
        <v>-0.57999999999999996</v>
      </c>
      <c r="H125" s="57">
        <v>0.02</v>
      </c>
      <c r="I125" s="55" t="s">
        <v>311</v>
      </c>
      <c r="J125" s="83">
        <v>30</v>
      </c>
      <c r="K125" s="84">
        <v>0.15</v>
      </c>
      <c r="L125" s="55" t="s">
        <v>971</v>
      </c>
      <c r="M125" s="55" t="s">
        <v>1098</v>
      </c>
    </row>
    <row r="126" spans="1:13">
      <c r="A126" s="55" t="s">
        <v>366</v>
      </c>
      <c r="B126" s="55" t="s">
        <v>309</v>
      </c>
      <c r="C126" s="55" t="s">
        <v>367</v>
      </c>
      <c r="D126" s="55" t="s">
        <v>292</v>
      </c>
      <c r="E126" s="55" t="s">
        <v>205</v>
      </c>
      <c r="F126" s="57">
        <v>-0.17</v>
      </c>
      <c r="G126" s="57">
        <v>-0.6</v>
      </c>
      <c r="H126" s="57">
        <v>0</v>
      </c>
      <c r="I126" s="55" t="s">
        <v>311</v>
      </c>
      <c r="J126" s="83">
        <v>25</v>
      </c>
      <c r="K126" s="84">
        <v>0.12</v>
      </c>
      <c r="L126" s="55" t="s">
        <v>971</v>
      </c>
      <c r="M126" s="55" t="s">
        <v>1099</v>
      </c>
    </row>
    <row r="127" spans="1:13">
      <c r="A127" s="55" t="s">
        <v>375</v>
      </c>
      <c r="B127" s="55" t="s">
        <v>309</v>
      </c>
      <c r="C127" s="55" t="s">
        <v>376</v>
      </c>
      <c r="D127" s="55" t="s">
        <v>292</v>
      </c>
      <c r="E127" s="55" t="s">
        <v>61</v>
      </c>
      <c r="F127" s="57">
        <v>-0.03</v>
      </c>
      <c r="G127" s="57">
        <v>0.76</v>
      </c>
      <c r="H127" s="57">
        <v>0.1</v>
      </c>
      <c r="I127" s="55" t="s">
        <v>311</v>
      </c>
      <c r="J127" s="83">
        <v>3</v>
      </c>
      <c r="K127" s="84">
        <v>5.0000000000000001E-3</v>
      </c>
      <c r="L127" s="55" t="s">
        <v>971</v>
      </c>
      <c r="M127" s="55" t="s">
        <v>1100</v>
      </c>
    </row>
    <row r="128" spans="1:13">
      <c r="A128" s="55" t="s">
        <v>377</v>
      </c>
      <c r="B128" s="55" t="s">
        <v>309</v>
      </c>
      <c r="C128" s="55" t="s">
        <v>378</v>
      </c>
      <c r="D128" s="55" t="s">
        <v>292</v>
      </c>
      <c r="E128" s="55" t="s">
        <v>94</v>
      </c>
      <c r="F128" s="57">
        <v>-0.04</v>
      </c>
      <c r="G128" s="57">
        <v>0.7</v>
      </c>
      <c r="H128" s="57">
        <v>0.1</v>
      </c>
      <c r="I128" s="55" t="s">
        <v>311</v>
      </c>
      <c r="J128" s="83">
        <v>4</v>
      </c>
      <c r="K128" s="84">
        <v>8.0000000000000002E-3</v>
      </c>
      <c r="L128" s="55" t="s">
        <v>971</v>
      </c>
      <c r="M128" s="55" t="s">
        <v>1101</v>
      </c>
    </row>
    <row r="129" spans="1:13">
      <c r="A129" s="55" t="s">
        <v>379</v>
      </c>
      <c r="B129" s="55" t="s">
        <v>309</v>
      </c>
      <c r="C129" s="55" t="s">
        <v>380</v>
      </c>
      <c r="D129" s="55" t="s">
        <v>292</v>
      </c>
      <c r="E129" s="55" t="s">
        <v>94</v>
      </c>
      <c r="F129" s="57">
        <v>-0.05</v>
      </c>
      <c r="G129" s="57">
        <v>0.68</v>
      </c>
      <c r="H129" s="57">
        <v>0.08</v>
      </c>
      <c r="I129" s="55" t="s">
        <v>311</v>
      </c>
      <c r="J129" s="83">
        <v>6</v>
      </c>
      <c r="K129" s="84">
        <v>0.01</v>
      </c>
      <c r="L129" s="55" t="s">
        <v>971</v>
      </c>
      <c r="M129" s="55" t="s">
        <v>1102</v>
      </c>
    </row>
    <row r="130" spans="1:13">
      <c r="A130" s="55" t="s">
        <v>1103</v>
      </c>
      <c r="B130" s="55" t="s">
        <v>309</v>
      </c>
      <c r="C130" s="55" t="s">
        <v>374</v>
      </c>
      <c r="D130" s="55" t="s">
        <v>292</v>
      </c>
      <c r="E130" s="55" t="s">
        <v>991</v>
      </c>
      <c r="F130" s="57">
        <v>-0.1</v>
      </c>
      <c r="G130" s="57">
        <v>0.22</v>
      </c>
      <c r="H130" s="57">
        <v>0.02</v>
      </c>
      <c r="I130" s="55" t="s">
        <v>311</v>
      </c>
      <c r="J130" s="83">
        <v>35</v>
      </c>
      <c r="K130" s="84">
        <v>0.3</v>
      </c>
      <c r="L130" s="55" t="s">
        <v>971</v>
      </c>
      <c r="M130" s="55" t="s">
        <v>1104</v>
      </c>
    </row>
    <row r="131" spans="1:13">
      <c r="A131" s="55" t="s">
        <v>372</v>
      </c>
      <c r="B131" s="55" t="s">
        <v>309</v>
      </c>
      <c r="C131" s="55" t="s">
        <v>373</v>
      </c>
      <c r="D131" s="55" t="s">
        <v>292</v>
      </c>
      <c r="E131" s="55" t="s">
        <v>991</v>
      </c>
      <c r="F131" s="57">
        <v>-0.14000000000000001</v>
      </c>
      <c r="G131" s="57">
        <v>0.38</v>
      </c>
      <c r="H131" s="57">
        <v>0.04</v>
      </c>
      <c r="I131" s="55" t="s">
        <v>311</v>
      </c>
      <c r="J131" s="83">
        <v>20</v>
      </c>
      <c r="K131" s="84">
        <v>0.15</v>
      </c>
      <c r="L131" s="55" t="s">
        <v>971</v>
      </c>
      <c r="M131" s="55" t="s">
        <v>1105</v>
      </c>
    </row>
    <row r="132" spans="1:13">
      <c r="A132" s="3" t="s">
        <v>1106</v>
      </c>
      <c r="B132" s="3" t="s">
        <v>418</v>
      </c>
      <c r="C132" s="3" t="s">
        <v>429</v>
      </c>
      <c r="D132" s="3" t="s">
        <v>65</v>
      </c>
      <c r="E132" s="3" t="s">
        <v>192</v>
      </c>
      <c r="F132" s="68">
        <v>-0.15</v>
      </c>
      <c r="G132" s="68">
        <v>-0.42</v>
      </c>
      <c r="H132" s="68">
        <v>0</v>
      </c>
      <c r="I132" s="3" t="s">
        <v>229</v>
      </c>
      <c r="J132" s="85">
        <v>3.8</v>
      </c>
      <c r="K132" s="86">
        <v>0.01</v>
      </c>
      <c r="L132" s="3" t="s">
        <v>971</v>
      </c>
      <c r="M132" s="3" t="s">
        <v>1107</v>
      </c>
    </row>
    <row r="133" spans="1:13">
      <c r="A133" s="3" t="s">
        <v>1108</v>
      </c>
      <c r="B133" s="3" t="s">
        <v>418</v>
      </c>
      <c r="C133" s="3" t="s">
        <v>431</v>
      </c>
      <c r="D133" s="3" t="s">
        <v>65</v>
      </c>
      <c r="E133" s="3" t="s">
        <v>192</v>
      </c>
      <c r="F133" s="68">
        <v>-0.15</v>
      </c>
      <c r="G133" s="68">
        <v>-0.42</v>
      </c>
      <c r="H133" s="68">
        <v>-0.01</v>
      </c>
      <c r="I133" s="3" t="s">
        <v>229</v>
      </c>
      <c r="J133" s="85">
        <v>3.8</v>
      </c>
      <c r="K133" s="86">
        <v>0.01</v>
      </c>
      <c r="L133" s="3" t="s">
        <v>971</v>
      </c>
      <c r="M133" s="3" t="s">
        <v>1107</v>
      </c>
    </row>
    <row r="134" spans="1:13">
      <c r="A134" s="3" t="s">
        <v>1109</v>
      </c>
      <c r="B134" s="3" t="s">
        <v>418</v>
      </c>
      <c r="C134" s="3" t="s">
        <v>433</v>
      </c>
      <c r="D134" s="3" t="s">
        <v>65</v>
      </c>
      <c r="E134" s="3" t="s">
        <v>192</v>
      </c>
      <c r="F134" s="68">
        <v>-0.12</v>
      </c>
      <c r="G134" s="68">
        <v>-0.42</v>
      </c>
      <c r="H134" s="68">
        <v>0</v>
      </c>
      <c r="I134" s="3" t="s">
        <v>229</v>
      </c>
      <c r="J134" s="85">
        <v>10</v>
      </c>
      <c r="K134" s="86">
        <v>1.4999999999999999E-2</v>
      </c>
      <c r="L134" s="3" t="s">
        <v>971</v>
      </c>
      <c r="M134" s="3" t="s">
        <v>1110</v>
      </c>
    </row>
    <row r="135" spans="1:13">
      <c r="A135" s="3" t="s">
        <v>1111</v>
      </c>
      <c r="B135" s="3" t="s">
        <v>418</v>
      </c>
      <c r="C135" s="3" t="s">
        <v>435</v>
      </c>
      <c r="D135" s="3" t="s">
        <v>65</v>
      </c>
      <c r="E135" s="3" t="s">
        <v>192</v>
      </c>
      <c r="F135" s="68">
        <v>-0.18</v>
      </c>
      <c r="G135" s="68">
        <v>-0.42</v>
      </c>
      <c r="H135" s="68">
        <v>0</v>
      </c>
      <c r="I135" s="3" t="s">
        <v>229</v>
      </c>
      <c r="J135" s="85">
        <v>6</v>
      </c>
      <c r="K135" s="86">
        <v>0.01</v>
      </c>
      <c r="L135" s="3" t="s">
        <v>971</v>
      </c>
      <c r="M135" s="3" t="s">
        <v>1112</v>
      </c>
    </row>
    <row r="136" spans="1:13">
      <c r="A136" s="3" t="s">
        <v>417</v>
      </c>
      <c r="B136" s="3" t="s">
        <v>418</v>
      </c>
      <c r="C136" s="3" t="s">
        <v>419</v>
      </c>
      <c r="D136" s="3" t="s">
        <v>65</v>
      </c>
      <c r="E136" s="3" t="s">
        <v>196</v>
      </c>
      <c r="F136" s="68">
        <v>-0.15</v>
      </c>
      <c r="G136" s="68">
        <v>-0.45</v>
      </c>
      <c r="H136" s="68">
        <v>0.02</v>
      </c>
      <c r="I136" s="3" t="s">
        <v>311</v>
      </c>
      <c r="J136" s="85">
        <v>5</v>
      </c>
      <c r="K136" s="86">
        <v>0.02</v>
      </c>
      <c r="L136" s="3" t="s">
        <v>971</v>
      </c>
      <c r="M136" s="3" t="s">
        <v>1113</v>
      </c>
    </row>
    <row r="137" spans="1:13">
      <c r="A137" s="3" t="s">
        <v>420</v>
      </c>
      <c r="B137" s="3" t="s">
        <v>418</v>
      </c>
      <c r="C137" s="3" t="s">
        <v>421</v>
      </c>
      <c r="D137" s="3" t="s">
        <v>65</v>
      </c>
      <c r="E137" s="3" t="s">
        <v>210</v>
      </c>
      <c r="F137" s="68">
        <v>-0.15</v>
      </c>
      <c r="G137" s="68">
        <v>-0.7</v>
      </c>
      <c r="H137" s="68">
        <v>0.02</v>
      </c>
      <c r="I137" s="3" t="s">
        <v>311</v>
      </c>
      <c r="J137" s="85">
        <v>15</v>
      </c>
      <c r="K137" s="86">
        <v>0.03</v>
      </c>
      <c r="L137" s="3" t="s">
        <v>971</v>
      </c>
      <c r="M137" s="3" t="s">
        <v>1114</v>
      </c>
    </row>
    <row r="138" spans="1:13">
      <c r="A138" s="3" t="s">
        <v>422</v>
      </c>
      <c r="B138" s="3" t="s">
        <v>418</v>
      </c>
      <c r="C138" s="3" t="s">
        <v>423</v>
      </c>
      <c r="D138" s="3" t="s">
        <v>65</v>
      </c>
      <c r="E138" s="3" t="s">
        <v>164</v>
      </c>
      <c r="F138" s="68">
        <v>-0.28000000000000003</v>
      </c>
      <c r="G138" s="68">
        <v>0.34</v>
      </c>
      <c r="H138" s="68">
        <v>0</v>
      </c>
      <c r="I138" s="3" t="s">
        <v>311</v>
      </c>
      <c r="J138" s="85">
        <v>8</v>
      </c>
      <c r="K138" s="86">
        <v>0.01</v>
      </c>
      <c r="L138" s="3" t="s">
        <v>971</v>
      </c>
      <c r="M138" s="3" t="s">
        <v>1086</v>
      </c>
    </row>
    <row r="139" spans="1:13">
      <c r="A139" s="3" t="s">
        <v>424</v>
      </c>
      <c r="B139" s="3" t="s">
        <v>418</v>
      </c>
      <c r="C139" s="3" t="s">
        <v>425</v>
      </c>
      <c r="D139" s="3" t="s">
        <v>65</v>
      </c>
      <c r="E139" s="3" t="s">
        <v>169</v>
      </c>
      <c r="F139" s="68">
        <v>-0.28000000000000003</v>
      </c>
      <c r="G139" s="68">
        <v>0.2</v>
      </c>
      <c r="H139" s="68">
        <v>0</v>
      </c>
      <c r="I139" s="3" t="s">
        <v>311</v>
      </c>
      <c r="J139" s="85">
        <v>6</v>
      </c>
      <c r="K139" s="86">
        <v>0.01</v>
      </c>
      <c r="L139" s="3" t="s">
        <v>971</v>
      </c>
      <c r="M139" s="3" t="s">
        <v>1087</v>
      </c>
    </row>
    <row r="140" spans="1:13">
      <c r="A140" s="3" t="s">
        <v>426</v>
      </c>
      <c r="B140" s="3" t="s">
        <v>418</v>
      </c>
      <c r="C140" s="3" t="s">
        <v>427</v>
      </c>
      <c r="D140" s="3" t="s">
        <v>65</v>
      </c>
      <c r="E140" s="3" t="s">
        <v>154</v>
      </c>
      <c r="F140" s="68">
        <v>-0.22</v>
      </c>
      <c r="G140" s="68">
        <v>0.46</v>
      </c>
      <c r="H140" s="68">
        <v>-0.02</v>
      </c>
      <c r="I140" s="3" t="s">
        <v>311</v>
      </c>
      <c r="J140" s="85">
        <v>10</v>
      </c>
      <c r="K140" s="86">
        <v>0.02</v>
      </c>
      <c r="L140" s="3" t="s">
        <v>971</v>
      </c>
      <c r="M140" s="3" t="s">
        <v>1115</v>
      </c>
    </row>
    <row r="141" spans="1:13">
      <c r="A141" s="3" t="s">
        <v>440</v>
      </c>
      <c r="B141" s="3" t="s">
        <v>418</v>
      </c>
      <c r="C141" s="3" t="s">
        <v>441</v>
      </c>
      <c r="D141" s="3" t="s">
        <v>65</v>
      </c>
      <c r="E141" s="3" t="s">
        <v>188</v>
      </c>
      <c r="F141" s="68">
        <v>-0.14000000000000001</v>
      </c>
      <c r="G141" s="68">
        <v>-0.05</v>
      </c>
      <c r="H141" s="68">
        <v>0</v>
      </c>
      <c r="I141" s="3" t="s">
        <v>229</v>
      </c>
      <c r="J141" s="85">
        <v>12</v>
      </c>
      <c r="K141" s="86">
        <v>0.02</v>
      </c>
      <c r="L141" s="3" t="s">
        <v>971</v>
      </c>
      <c r="M141" s="3" t="s">
        <v>1116</v>
      </c>
    </row>
    <row r="142" spans="1:13">
      <c r="A142" s="3" t="s">
        <v>442</v>
      </c>
      <c r="B142" s="3" t="s">
        <v>418</v>
      </c>
      <c r="C142" s="3" t="s">
        <v>443</v>
      </c>
      <c r="D142" s="3" t="s">
        <v>65</v>
      </c>
      <c r="E142" s="3" t="s">
        <v>188</v>
      </c>
      <c r="F142" s="68">
        <v>-0.1</v>
      </c>
      <c r="G142" s="68">
        <v>-0.03</v>
      </c>
      <c r="H142" s="68">
        <v>0.02</v>
      </c>
      <c r="I142" s="3" t="s">
        <v>229</v>
      </c>
      <c r="J142" s="85">
        <v>8</v>
      </c>
      <c r="K142" s="86">
        <v>0.01</v>
      </c>
      <c r="L142" s="3" t="s">
        <v>971</v>
      </c>
      <c r="M142" s="3" t="s">
        <v>1117</v>
      </c>
    </row>
    <row r="143" spans="1:13">
      <c r="A143" s="3" t="s">
        <v>444</v>
      </c>
      <c r="B143" s="3" t="s">
        <v>418</v>
      </c>
      <c r="C143" s="3" t="s">
        <v>445</v>
      </c>
      <c r="D143" s="3" t="s">
        <v>65</v>
      </c>
      <c r="E143" s="3" t="s">
        <v>188</v>
      </c>
      <c r="F143" s="68">
        <v>-0.12</v>
      </c>
      <c r="G143" s="68">
        <v>-0.05</v>
      </c>
      <c r="H143" s="68">
        <v>-0.02</v>
      </c>
      <c r="I143" s="3" t="s">
        <v>229</v>
      </c>
      <c r="J143" s="85">
        <v>9</v>
      </c>
      <c r="K143" s="86">
        <v>0.01</v>
      </c>
      <c r="L143" s="3" t="s">
        <v>971</v>
      </c>
      <c r="M143" s="3" t="s">
        <v>1117</v>
      </c>
    </row>
    <row r="144" spans="1:13">
      <c r="A144" s="3" t="s">
        <v>1118</v>
      </c>
      <c r="B144" s="3" t="s">
        <v>418</v>
      </c>
      <c r="C144" s="3" t="s">
        <v>1119</v>
      </c>
      <c r="D144" s="3" t="s">
        <v>65</v>
      </c>
      <c r="E144" s="3" t="s">
        <v>985</v>
      </c>
      <c r="F144" s="68">
        <v>0</v>
      </c>
      <c r="G144" s="68">
        <v>0.35</v>
      </c>
      <c r="H144" s="68">
        <v>0.02</v>
      </c>
      <c r="I144" s="3" t="s">
        <v>229</v>
      </c>
      <c r="J144" s="85">
        <v>60</v>
      </c>
      <c r="K144" s="86">
        <v>0.05</v>
      </c>
      <c r="L144" s="3" t="s">
        <v>971</v>
      </c>
      <c r="M144" s="3" t="s">
        <v>1120</v>
      </c>
    </row>
    <row r="145" spans="1:13">
      <c r="A145" s="3" t="s">
        <v>1121</v>
      </c>
      <c r="B145" s="3" t="s">
        <v>418</v>
      </c>
      <c r="C145" s="3" t="s">
        <v>1122</v>
      </c>
      <c r="D145" s="3" t="s">
        <v>65</v>
      </c>
      <c r="E145" s="3" t="s">
        <v>985</v>
      </c>
      <c r="F145" s="68">
        <v>0</v>
      </c>
      <c r="G145" s="68">
        <v>0.35</v>
      </c>
      <c r="H145" s="68">
        <v>-0.02</v>
      </c>
      <c r="I145" s="3" t="s">
        <v>229</v>
      </c>
      <c r="J145" s="85">
        <v>60</v>
      </c>
      <c r="K145" s="86">
        <v>0.04</v>
      </c>
      <c r="L145" s="3" t="s">
        <v>971</v>
      </c>
      <c r="M145" s="3" t="s">
        <v>1123</v>
      </c>
    </row>
    <row r="146" spans="1:13">
      <c r="A146" s="3" t="s">
        <v>1124</v>
      </c>
      <c r="B146" s="3" t="s">
        <v>418</v>
      </c>
      <c r="C146" s="3" t="s">
        <v>437</v>
      </c>
      <c r="D146" s="3" t="s">
        <v>65</v>
      </c>
      <c r="E146" s="3" t="s">
        <v>987</v>
      </c>
      <c r="F146" s="68">
        <v>0</v>
      </c>
      <c r="G146" s="68">
        <v>0.1</v>
      </c>
      <c r="H146" s="68">
        <v>-0.04</v>
      </c>
      <c r="I146" s="3" t="s">
        <v>229</v>
      </c>
      <c r="J146" s="85">
        <v>15</v>
      </c>
      <c r="K146" s="86">
        <v>0.02</v>
      </c>
      <c r="L146" s="3" t="s">
        <v>971</v>
      </c>
      <c r="M146" s="3" t="s">
        <v>1125</v>
      </c>
    </row>
    <row r="147" spans="1:13">
      <c r="A147" s="3" t="s">
        <v>1126</v>
      </c>
      <c r="B147" s="3" t="s">
        <v>418</v>
      </c>
      <c r="C147" s="3" t="s">
        <v>439</v>
      </c>
      <c r="D147" s="3" t="s">
        <v>65</v>
      </c>
      <c r="E147" s="3" t="s">
        <v>154</v>
      </c>
      <c r="F147" s="68">
        <v>-0.2</v>
      </c>
      <c r="G147" s="68">
        <v>0.48</v>
      </c>
      <c r="H147" s="68">
        <v>0</v>
      </c>
      <c r="I147" s="3" t="s">
        <v>229</v>
      </c>
      <c r="J147" s="85">
        <v>8</v>
      </c>
      <c r="K147" s="86">
        <v>0.01</v>
      </c>
      <c r="L147" s="3" t="s">
        <v>971</v>
      </c>
      <c r="M147" s="3" t="s">
        <v>1127</v>
      </c>
    </row>
    <row r="148" spans="1:13">
      <c r="A148" s="3" t="s">
        <v>1128</v>
      </c>
      <c r="B148" s="3" t="s">
        <v>418</v>
      </c>
      <c r="C148" s="3" t="s">
        <v>1129</v>
      </c>
      <c r="D148" s="3" t="s">
        <v>65</v>
      </c>
      <c r="E148" s="3" t="s">
        <v>149</v>
      </c>
      <c r="F148" s="68">
        <v>-0.16</v>
      </c>
      <c r="G148" s="68">
        <v>0.54</v>
      </c>
      <c r="H148" s="68">
        <v>-0.02</v>
      </c>
      <c r="I148" s="3" t="s">
        <v>229</v>
      </c>
      <c r="J148" s="85">
        <v>3</v>
      </c>
      <c r="K148" s="86">
        <v>5.0000000000000001E-3</v>
      </c>
      <c r="L148" s="3" t="s">
        <v>971</v>
      </c>
      <c r="M148" s="3" t="s">
        <v>1130</v>
      </c>
    </row>
    <row r="149" spans="1:13">
      <c r="A149" s="3" t="s">
        <v>1131</v>
      </c>
      <c r="B149" s="3" t="s">
        <v>418</v>
      </c>
      <c r="C149" s="3" t="s">
        <v>1132</v>
      </c>
      <c r="D149" s="3" t="s">
        <v>65</v>
      </c>
      <c r="E149" s="3" t="s">
        <v>210</v>
      </c>
      <c r="F149" s="68">
        <v>-0.17</v>
      </c>
      <c r="G149" s="68">
        <v>-0.68</v>
      </c>
      <c r="H149" s="68">
        <v>0</v>
      </c>
      <c r="I149" s="3" t="s">
        <v>229</v>
      </c>
      <c r="J149" s="85">
        <v>4</v>
      </c>
      <c r="K149" s="86">
        <v>8.0000000000000002E-3</v>
      </c>
      <c r="L149" s="3" t="s">
        <v>971</v>
      </c>
      <c r="M149" s="3" t="s">
        <v>1133</v>
      </c>
    </row>
    <row r="150" spans="1:13">
      <c r="A150" s="3" t="s">
        <v>1134</v>
      </c>
      <c r="B150" s="3" t="s">
        <v>418</v>
      </c>
      <c r="C150" s="3" t="s">
        <v>1135</v>
      </c>
      <c r="D150" s="3" t="s">
        <v>65</v>
      </c>
      <c r="E150" s="3" t="s">
        <v>210</v>
      </c>
      <c r="F150" s="68">
        <v>-0.13</v>
      </c>
      <c r="G150" s="68">
        <v>-0.68</v>
      </c>
      <c r="H150" s="68">
        <v>0</v>
      </c>
      <c r="I150" s="3" t="s">
        <v>229</v>
      </c>
      <c r="J150" s="85">
        <v>5</v>
      </c>
      <c r="K150" s="86">
        <v>0.01</v>
      </c>
      <c r="L150" s="3" t="s">
        <v>971</v>
      </c>
      <c r="M150" s="3" t="s">
        <v>1136</v>
      </c>
    </row>
    <row r="153" spans="1:13" ht="18.75">
      <c r="A153" s="334" t="s">
        <v>1137</v>
      </c>
      <c r="B153" s="334"/>
      <c r="C153" s="334"/>
      <c r="D153" s="334"/>
      <c r="E153" s="334"/>
      <c r="F153" s="334"/>
      <c r="G153" s="334"/>
      <c r="H153" s="334"/>
      <c r="I153" s="334"/>
      <c r="J153" s="334"/>
      <c r="K153" s="334"/>
      <c r="L153" s="334"/>
      <c r="M153" s="334"/>
    </row>
    <row r="155" spans="1:13">
      <c r="A155" s="8" t="s">
        <v>591</v>
      </c>
      <c r="B155" s="8" t="s">
        <v>592</v>
      </c>
      <c r="C155" s="8" t="s">
        <v>593</v>
      </c>
      <c r="E155" s="8" t="s">
        <v>594</v>
      </c>
      <c r="F155" s="8"/>
    </row>
    <row r="156" spans="1:13">
      <c r="A156" t="s">
        <v>595</v>
      </c>
      <c r="B156">
        <v>0</v>
      </c>
      <c r="C156" t="s">
        <v>596</v>
      </c>
      <c r="E156" t="s">
        <v>597</v>
      </c>
      <c r="F156" t="s">
        <v>598</v>
      </c>
    </row>
    <row r="157" spans="1:13">
      <c r="A157" t="s">
        <v>599</v>
      </c>
      <c r="B157">
        <v>0</v>
      </c>
      <c r="C157" t="s">
        <v>596</v>
      </c>
      <c r="E157" t="e" cm="1">
        <f t="array" aca="1" ref="E157" ca="1">+X</f>
        <v>#NAME?</v>
      </c>
      <c r="F157" t="s">
        <v>601</v>
      </c>
    </row>
    <row r="158" spans="1:13">
      <c r="A158" t="s">
        <v>602</v>
      </c>
      <c r="B158">
        <v>0</v>
      </c>
      <c r="C158" t="s">
        <v>596</v>
      </c>
      <c r="E158" t="e" cm="1">
        <f t="array" aca="1" ref="E158" ca="1">-X</f>
        <v>#NAME?</v>
      </c>
      <c r="F158" t="s">
        <v>604</v>
      </c>
    </row>
    <row r="159" spans="1:13">
      <c r="E159" t="e" cm="1">
        <f t="array" aca="1" ref="E159" ca="1">+Y</f>
        <v>#NAME?</v>
      </c>
      <c r="F159" t="s">
        <v>606</v>
      </c>
    </row>
    <row r="160" spans="1:13">
      <c r="A160" t="s">
        <v>607</v>
      </c>
      <c r="B160" t="s">
        <v>608</v>
      </c>
      <c r="E160" t="e" cm="1">
        <f t="array" aca="1" ref="E160" ca="1">-Y</f>
        <v>#NAME?</v>
      </c>
      <c r="F160" t="s">
        <v>610</v>
      </c>
    </row>
    <row r="161" spans="1:13">
      <c r="A161" t="s">
        <v>1138</v>
      </c>
      <c r="B161">
        <v>175</v>
      </c>
      <c r="C161" t="s">
        <v>1139</v>
      </c>
      <c r="E161" t="e" cm="1">
        <f t="array" aca="1" ref="E161" ca="1">+Z</f>
        <v>#NAME?</v>
      </c>
      <c r="F161" t="s">
        <v>1140</v>
      </c>
    </row>
    <row r="162" spans="1:13">
      <c r="A162" t="s">
        <v>1141</v>
      </c>
      <c r="B162">
        <v>70</v>
      </c>
      <c r="C162" t="s">
        <v>1142</v>
      </c>
      <c r="E162" t="e" cm="1">
        <f t="array" aca="1" ref="E162" ca="1">-Z</f>
        <v>#NAME?</v>
      </c>
      <c r="F162" t="s">
        <v>1143</v>
      </c>
    </row>
    <row r="164" spans="1:13">
      <c r="A164" s="335" t="s">
        <v>1144</v>
      </c>
      <c r="B164" s="335"/>
      <c r="C164" s="335"/>
      <c r="D164" s="335"/>
      <c r="E164" s="335"/>
      <c r="F164" s="335"/>
      <c r="G164" s="335"/>
      <c r="H164" s="335"/>
      <c r="I164" s="335"/>
      <c r="J164" s="335"/>
      <c r="K164" s="335"/>
      <c r="L164" s="335"/>
      <c r="M164" s="335"/>
    </row>
    <row r="166" spans="1:13" ht="15.75">
      <c r="A166" s="336" t="s">
        <v>1145</v>
      </c>
      <c r="B166" s="336"/>
      <c r="C166" s="336"/>
      <c r="D166" s="336"/>
      <c r="E166" s="336"/>
      <c r="F166" s="336"/>
      <c r="G166" s="336"/>
      <c r="H166" s="336"/>
      <c r="I166" s="336"/>
      <c r="J166" s="336"/>
      <c r="K166" s="336"/>
      <c r="L166" s="336"/>
      <c r="M166" s="336"/>
    </row>
    <row r="168" spans="1:13">
      <c r="A168" s="8" t="s">
        <v>42</v>
      </c>
      <c r="B168" s="8" t="s">
        <v>1146</v>
      </c>
      <c r="C168" s="8" t="s">
        <v>1147</v>
      </c>
      <c r="E168" s="8" t="s">
        <v>47</v>
      </c>
      <c r="F168" s="8" t="s">
        <v>687</v>
      </c>
    </row>
    <row r="169" spans="1:13">
      <c r="A169" t="s">
        <v>62</v>
      </c>
      <c r="B169">
        <f>COUNTIF(AdultAnatomyEngine[Category],"Skeleton")</f>
        <v>51</v>
      </c>
      <c r="C169">
        <f>SUMIF(AdultAnatomyEngine[Category],"Skeleton",AdultAnatomyEngine[Mass (kg)])</f>
        <v>5.3199999999999985</v>
      </c>
      <c r="E169" t="s">
        <v>65</v>
      </c>
      <c r="F169">
        <f>COUNTIF(AdultAnatomyEngine[Domain],"Embodiment")</f>
        <v>86</v>
      </c>
    </row>
    <row r="170" spans="1:13">
      <c r="A170" t="s">
        <v>223</v>
      </c>
      <c r="B170">
        <f>COUNTIF(AdultAnatomyEngine[Category],"Organ")</f>
        <v>32</v>
      </c>
      <c r="C170">
        <f>SUMIF(AdultAnatomyEngine[Category],"Organ",AdultAnatomyEngine[Mass (kg)])</f>
        <v>11.2057</v>
      </c>
      <c r="E170" t="s">
        <v>256</v>
      </c>
      <c r="F170">
        <f>COUNTIF(AdultAnatomyEngine[Domain],"Neural Processing")</f>
        <v>4</v>
      </c>
    </row>
    <row r="171" spans="1:13">
      <c r="A171" t="s">
        <v>309</v>
      </c>
      <c r="B171">
        <f>COUNTIF(AdultAnatomyEngine[Category],"Muscle")</f>
        <v>47</v>
      </c>
      <c r="C171">
        <f>SUMIF(AdultAnatomyEngine[Category],"Muscle",AdultAnatomyEngine[Mass (kg)])</f>
        <v>11.373000000000001</v>
      </c>
      <c r="E171" t="s">
        <v>292</v>
      </c>
      <c r="F171">
        <f>COUNTIF(AdultAnatomyEngine[Domain],"Motor Control")</f>
        <v>48</v>
      </c>
    </row>
    <row r="172" spans="1:13">
      <c r="A172" t="s">
        <v>418</v>
      </c>
      <c r="B172">
        <f>COUNTIF(AdultAnatomyEngine[Category],"Connective")</f>
        <v>19</v>
      </c>
      <c r="C172">
        <f>SUMIF(AdultAnatomyEngine[Category],"Connective",AdultAnatomyEngine[Mass (kg)])</f>
        <v>0.318</v>
      </c>
      <c r="E172" t="s">
        <v>267</v>
      </c>
      <c r="F172">
        <f>COUNTIF(AdultAnatomyEngine[Domain],"Endocrine")</f>
        <v>6</v>
      </c>
    </row>
    <row r="173" spans="1:13">
      <c r="E173" t="s">
        <v>298</v>
      </c>
      <c r="F173">
        <f>COUNTIF(AdultAnatomyEngine[Domain],"Sensing")</f>
        <v>5</v>
      </c>
    </row>
    <row r="174" spans="1:13">
      <c r="A174" s="87" t="s">
        <v>1148</v>
      </c>
      <c r="B174" s="87">
        <f>SUM(B170:B173)</f>
        <v>98</v>
      </c>
      <c r="C174" s="87">
        <f>SUM(C170:C173)</f>
        <v>22.896700000000003</v>
      </c>
    </row>
    <row r="176" spans="1:13" ht="15.75">
      <c r="A176" s="336" t="s">
        <v>1149</v>
      </c>
      <c r="B176" s="336"/>
      <c r="C176" s="336"/>
      <c r="D176" s="336"/>
      <c r="E176" s="336"/>
      <c r="F176" s="336"/>
      <c r="G176" s="336"/>
      <c r="H176" s="336"/>
      <c r="I176" s="336"/>
      <c r="J176" s="336"/>
      <c r="K176" s="336"/>
      <c r="L176" s="336"/>
      <c r="M176" s="336"/>
    </row>
    <row r="178" spans="1:13">
      <c r="A178" s="8" t="s">
        <v>1150</v>
      </c>
      <c r="B178" s="8" t="s">
        <v>1146</v>
      </c>
      <c r="E178" s="8" t="s">
        <v>1150</v>
      </c>
      <c r="F178" s="8" t="s">
        <v>1146</v>
      </c>
    </row>
    <row r="179" spans="1:13">
      <c r="A179" t="s">
        <v>161</v>
      </c>
      <c r="B179">
        <f>COUNTIF(AdultAnatomyEngine[Connection Type],"Ball-Socket")</f>
        <v>4</v>
      </c>
      <c r="E179" t="s">
        <v>311</v>
      </c>
      <c r="F179">
        <f>COUNTIF(AdultAnatomyEngine[Connection Type],"Tendon")</f>
        <v>52</v>
      </c>
    </row>
    <row r="180" spans="1:13">
      <c r="A180" t="s">
        <v>166</v>
      </c>
      <c r="B180">
        <f>COUNTIF(AdultAnatomyEngine[Connection Type],"Hinge")</f>
        <v>8</v>
      </c>
      <c r="E180" t="s">
        <v>229</v>
      </c>
      <c r="F180">
        <f>COUNTIF(AdultAnatomyEngine[Connection Type],"Ligament")</f>
        <v>20</v>
      </c>
    </row>
    <row r="181" spans="1:13">
      <c r="A181" t="s">
        <v>171</v>
      </c>
      <c r="B181">
        <f>COUNTIF(AdultAnatomyEngine[Connection Type],"Pivot")</f>
        <v>2</v>
      </c>
      <c r="E181" t="s">
        <v>67</v>
      </c>
      <c r="F181">
        <f>COUNTIF(AdultAnatomyEngine[Connection Type],"Suture")</f>
        <v>10</v>
      </c>
    </row>
    <row r="182" spans="1:13">
      <c r="A182" t="s">
        <v>176</v>
      </c>
      <c r="B182">
        <f>COUNTIF(AdultAnatomyEngine[Connection Type],"Gliding")</f>
        <v>4</v>
      </c>
      <c r="E182" t="s">
        <v>126</v>
      </c>
      <c r="F182">
        <f>COUNTIF(AdultAnatomyEngine[Connection Type],"Suspended")</f>
        <v>7</v>
      </c>
    </row>
    <row r="183" spans="1:13">
      <c r="A183" t="s">
        <v>181</v>
      </c>
      <c r="B183">
        <f>COUNTIF(AdultAnatomyEngine[Connection Type],"Condyloid")</f>
        <v>4</v>
      </c>
      <c r="E183" t="s">
        <v>148</v>
      </c>
      <c r="F183">
        <f>COUNTIF(AdultAnatomyEngine[Connection Type],"Cartilaginous")</f>
        <v>3</v>
      </c>
    </row>
    <row r="186" spans="1:13" ht="15.75">
      <c r="A186" s="336" t="s">
        <v>954</v>
      </c>
      <c r="B186" s="336"/>
      <c r="C186" s="336"/>
      <c r="D186" s="336"/>
      <c r="E186" s="336"/>
      <c r="F186" s="336"/>
      <c r="G186" s="336"/>
      <c r="H186" s="336"/>
      <c r="I186" s="336"/>
      <c r="J186" s="336"/>
      <c r="K186" s="336"/>
      <c r="L186" s="336"/>
      <c r="M186" s="336"/>
    </row>
    <row r="188" spans="1:13">
      <c r="A188" s="8" t="s">
        <v>1151</v>
      </c>
      <c r="B188" s="8" t="s">
        <v>1152</v>
      </c>
      <c r="C188" s="8" t="s">
        <v>1153</v>
      </c>
      <c r="D188" s="8" t="s">
        <v>1154</v>
      </c>
    </row>
    <row r="189" spans="1:13">
      <c r="A189" t="s">
        <v>833</v>
      </c>
      <c r="B189">
        <f>'DNA Loop Engine'!B4</f>
        <v>4000</v>
      </c>
      <c r="C189" t="s">
        <v>1155</v>
      </c>
      <c r="D189" t="s">
        <v>1156</v>
      </c>
    </row>
    <row r="190" spans="1:13">
      <c r="A190" t="s">
        <v>833</v>
      </c>
      <c r="B190">
        <f>'DNA Loop Engine'!B5</f>
        <v>50</v>
      </c>
      <c r="C190" t="s">
        <v>48</v>
      </c>
      <c r="D190" t="s">
        <v>1157</v>
      </c>
    </row>
    <row r="191" spans="1:13">
      <c r="A191" t="s">
        <v>839</v>
      </c>
      <c r="B191" t="s">
        <v>1158</v>
      </c>
      <c r="C191" t="s">
        <v>1159</v>
      </c>
      <c r="D191" t="s">
        <v>1160</v>
      </c>
    </row>
    <row r="192" spans="1:13">
      <c r="A192" t="s">
        <v>882</v>
      </c>
      <c r="B192" t="s">
        <v>1161</v>
      </c>
      <c r="C192" t="s">
        <v>1162</v>
      </c>
      <c r="D192" t="s">
        <v>1163</v>
      </c>
    </row>
    <row r="193" spans="1:13">
      <c r="A193" t="s">
        <v>836</v>
      </c>
      <c r="B193" t="s">
        <v>1164</v>
      </c>
      <c r="C193" t="s">
        <v>1165</v>
      </c>
      <c r="D193" t="s">
        <v>1166</v>
      </c>
    </row>
    <row r="194" spans="1:13">
      <c r="A194" t="s">
        <v>966</v>
      </c>
      <c r="B194" t="s">
        <v>1167</v>
      </c>
      <c r="C194" t="s">
        <v>1168</v>
      </c>
      <c r="D194" t="s">
        <v>1169</v>
      </c>
    </row>
    <row r="195" spans="1:13">
      <c r="A195" t="s">
        <v>1170</v>
      </c>
      <c r="B195" t="s">
        <v>1171</v>
      </c>
      <c r="C195" t="s">
        <v>1172</v>
      </c>
      <c r="D195" t="s">
        <v>1173</v>
      </c>
    </row>
    <row r="197" spans="1:13" ht="15.75">
      <c r="A197" s="337" t="s">
        <v>1174</v>
      </c>
      <c r="B197" s="337"/>
      <c r="C197" s="337"/>
      <c r="D197" s="337"/>
      <c r="E197" s="337"/>
      <c r="F197" s="337"/>
      <c r="G197" s="337"/>
      <c r="H197" s="337"/>
      <c r="I197" s="337"/>
      <c r="J197" s="337"/>
      <c r="K197" s="337"/>
      <c r="L197" s="337"/>
      <c r="M197" s="337"/>
    </row>
    <row r="199" spans="1:13">
      <c r="A199" s="88" t="s">
        <v>669</v>
      </c>
      <c r="B199" s="88" t="s">
        <v>1175</v>
      </c>
      <c r="C199" s="88" t="s">
        <v>1176</v>
      </c>
      <c r="D199" s="88" t="s">
        <v>1177</v>
      </c>
    </row>
    <row r="200" spans="1:13">
      <c r="A200" t="s">
        <v>1178</v>
      </c>
      <c r="B200" t="s">
        <v>1179</v>
      </c>
      <c r="C200" t="s">
        <v>1180</v>
      </c>
      <c r="D200" t="s">
        <v>1181</v>
      </c>
    </row>
    <row r="201" spans="1:13">
      <c r="A201" t="s">
        <v>1182</v>
      </c>
      <c r="B201" t="s">
        <v>1183</v>
      </c>
      <c r="C201" t="s">
        <v>1184</v>
      </c>
      <c r="D201" t="s">
        <v>1185</v>
      </c>
    </row>
    <row r="202" spans="1:13">
      <c r="A202" t="s">
        <v>1186</v>
      </c>
      <c r="B202" t="s">
        <v>1187</v>
      </c>
      <c r="C202" t="s">
        <v>1188</v>
      </c>
      <c r="D202" t="s">
        <v>1189</v>
      </c>
    </row>
    <row r="203" spans="1:13">
      <c r="A203" t="s">
        <v>1190</v>
      </c>
      <c r="B203" t="s">
        <v>1191</v>
      </c>
      <c r="C203" t="s">
        <v>1192</v>
      </c>
      <c r="D203" t="s">
        <v>1181</v>
      </c>
    </row>
    <row r="204" spans="1:13">
      <c r="A204" t="s">
        <v>1193</v>
      </c>
      <c r="B204">
        <v>206</v>
      </c>
      <c r="C204" t="s">
        <v>1194</v>
      </c>
      <c r="D204" t="s">
        <v>1195</v>
      </c>
    </row>
    <row r="205" spans="1:13">
      <c r="A205" t="s">
        <v>1196</v>
      </c>
      <c r="B205" t="s">
        <v>1197</v>
      </c>
      <c r="C205" t="s">
        <v>1197</v>
      </c>
      <c r="D205" t="s">
        <v>1198</v>
      </c>
    </row>
  </sheetData>
  <mergeCells count="6">
    <mergeCell ref="A153:M153"/>
    <mergeCell ref="A166:M166"/>
    <mergeCell ref="A176:M176"/>
    <mergeCell ref="A164:M164"/>
    <mergeCell ref="A186:M186"/>
    <mergeCell ref="A197:M197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E7E7-59DC-4CFB-BF56-981FFDED0F4E}">
  <dimension ref="A1:H108"/>
  <sheetViews>
    <sheetView topLeftCell="A89" workbookViewId="0">
      <selection activeCell="B6" sqref="B6"/>
    </sheetView>
  </sheetViews>
  <sheetFormatPr defaultRowHeight="15"/>
  <cols>
    <col min="1" max="1" width="26.7109375" customWidth="1"/>
    <col min="2" max="2" width="19" customWidth="1"/>
    <col min="3" max="5" width="30.42578125" customWidth="1"/>
    <col min="6" max="7" width="26.7109375" customWidth="1"/>
    <col min="8" max="8" width="19" customWidth="1"/>
  </cols>
  <sheetData>
    <row r="1" spans="1:8" ht="21">
      <c r="A1" s="89" t="s">
        <v>1199</v>
      </c>
      <c r="B1" s="321"/>
      <c r="C1" s="321"/>
      <c r="D1" s="321"/>
      <c r="E1" s="321"/>
      <c r="F1" s="321"/>
      <c r="G1" s="321"/>
      <c r="H1" s="321"/>
    </row>
    <row r="3" spans="1:8">
      <c r="A3" s="338" t="s">
        <v>1200</v>
      </c>
      <c r="B3" s="339"/>
      <c r="C3" s="16"/>
      <c r="E3" s="340" t="s">
        <v>1201</v>
      </c>
      <c r="F3" s="339"/>
      <c r="G3" s="339"/>
      <c r="H3" s="339"/>
    </row>
    <row r="4" spans="1:8">
      <c r="A4" s="15" t="s">
        <v>1202</v>
      </c>
      <c r="B4" s="16">
        <f>'DNA Loop Engine'!B5</f>
        <v>50</v>
      </c>
      <c r="C4" s="16"/>
      <c r="E4" s="15" t="s">
        <v>591</v>
      </c>
      <c r="F4" s="16" t="s">
        <v>1203</v>
      </c>
      <c r="G4" s="16" t="s">
        <v>1204</v>
      </c>
      <c r="H4" s="16" t="s">
        <v>562</v>
      </c>
    </row>
    <row r="5" spans="1:8">
      <c r="A5" s="15" t="s">
        <v>1205</v>
      </c>
      <c r="B5" s="16">
        <f>IF(B4&gt;=B6, ROUND((B4-B6)/4.33, 1), "Not Born")</f>
        <v>2.2999999999999998</v>
      </c>
      <c r="C5" s="16"/>
      <c r="E5" s="15" t="s">
        <v>1206</v>
      </c>
      <c r="F5" s="16" t="s">
        <v>813</v>
      </c>
      <c r="G5" s="16" t="s">
        <v>225</v>
      </c>
      <c r="H5" s="16" t="str">
        <f>IF(B4&gt;=B6, "✅ SWITCHED", "⏳ PRENATAL")</f>
        <v>✅ SWITCHED</v>
      </c>
    </row>
    <row r="6" spans="1:8">
      <c r="A6" s="15" t="s">
        <v>1207</v>
      </c>
      <c r="B6" s="16">
        <v>40</v>
      </c>
      <c r="C6" s="16"/>
      <c r="E6" s="15" t="s">
        <v>1208</v>
      </c>
      <c r="F6" s="16" t="s">
        <v>1209</v>
      </c>
      <c r="G6" s="16" t="s">
        <v>1210</v>
      </c>
      <c r="H6" s="16" t="str">
        <f>IF(B4&gt;=B6, "✅ SWITCHED", "⏳ PRENATAL")</f>
        <v>✅ SWITCHED</v>
      </c>
    </row>
    <row r="7" spans="1:8">
      <c r="A7" s="15" t="s">
        <v>1211</v>
      </c>
      <c r="B7" s="16">
        <f>IF(B4&gt;=B6, B4-B6, "Pre-Birth")</f>
        <v>10</v>
      </c>
      <c r="C7" s="16"/>
      <c r="E7" s="15" t="s">
        <v>1212</v>
      </c>
      <c r="F7" s="16" t="s">
        <v>1213</v>
      </c>
      <c r="G7" s="16" t="s">
        <v>1214</v>
      </c>
      <c r="H7" s="16" t="str">
        <f>IF(B4&gt;=B6, "✅ CLOSED", "🔓 OPEN")</f>
        <v>✅ CLOSED</v>
      </c>
    </row>
    <row r="8" spans="1:8">
      <c r="A8" s="15" t="s">
        <v>671</v>
      </c>
      <c r="B8" s="16" t="str">
        <f>IF(B4&lt;B6, "🔄 GESTATING", IF(B7&lt;=4, "Newborn (0-1 mo)", IF(B7&lt;=12, "Early Infant (1-3 mo)", IF(B7&lt;=24, "Middle Infant (3-6 mo)", IF(B7&lt;=48, "Late Infant (6-12 mo)", "Toddler (12+ mo)")))))</f>
        <v>Early Infant (1-3 mo)</v>
      </c>
      <c r="C8" s="16"/>
      <c r="E8" s="15" t="s">
        <v>1215</v>
      </c>
      <c r="F8" s="16" t="s">
        <v>1216</v>
      </c>
      <c r="G8" s="16" t="s">
        <v>1217</v>
      </c>
      <c r="H8" s="16" t="str">
        <f>IF(B4&gt;=B6, "✅ ACTIVE", "⏳ MATERNAL")</f>
        <v>✅ ACTIVE</v>
      </c>
    </row>
    <row r="9" spans="1:8">
      <c r="A9" s="15" t="s">
        <v>1218</v>
      </c>
      <c r="B9" s="16" t="str">
        <f>IF(B4&lt;B6, "🔗 CONNECTED", IF(B7&lt;=2, "🩹 HEALING", "✅ HEALED"))</f>
        <v>✅ HEALED</v>
      </c>
      <c r="C9" s="16"/>
      <c r="E9" s="110" t="s">
        <v>1219</v>
      </c>
      <c r="F9" s="18" t="s">
        <v>813</v>
      </c>
      <c r="G9" s="18" t="s">
        <v>1220</v>
      </c>
      <c r="H9" s="18" t="str">
        <f>IF(B4&gt;=B6, "✅ ACTIVE", "⏳ PLACENTAL")</f>
        <v>✅ ACTIVE</v>
      </c>
    </row>
    <row r="10" spans="1:8">
      <c r="A10" s="110" t="s">
        <v>1221</v>
      </c>
      <c r="B10" s="18" t="str">
        <f>IF(B4&lt;B6, "🫁 PLACENTAL", "🫁 PULMONARY")</f>
        <v>🫁 PULMONARY</v>
      </c>
      <c r="C10" s="18"/>
    </row>
    <row r="12" spans="1:8">
      <c r="A12" s="341" t="s">
        <v>1222</v>
      </c>
      <c r="B12" s="339"/>
      <c r="C12" s="339"/>
      <c r="E12" s="342" t="s">
        <v>1223</v>
      </c>
      <c r="F12" s="339"/>
      <c r="G12" s="339"/>
      <c r="H12" s="339"/>
    </row>
    <row r="13" spans="1:8">
      <c r="A13" s="15" t="s">
        <v>669</v>
      </c>
      <c r="B13" s="16" t="s">
        <v>455</v>
      </c>
      <c r="C13" s="16" t="s">
        <v>562</v>
      </c>
      <c r="E13" s="15" t="s">
        <v>686</v>
      </c>
      <c r="F13" s="16" t="s">
        <v>455</v>
      </c>
      <c r="G13" s="16" t="s">
        <v>1224</v>
      </c>
      <c r="H13" s="16" t="s">
        <v>689</v>
      </c>
    </row>
    <row r="14" spans="1:8">
      <c r="A14" s="15" t="s">
        <v>1225</v>
      </c>
      <c r="B14" s="42">
        <f>IF(B4&gt;=B6, 100%, AVERAGE('Respiratory Control'!L2:L11))</f>
        <v>1</v>
      </c>
      <c r="C14" s="16" t="str">
        <f>IF(B14&gt;=95%, "✅", IF(B14&gt;=50%, "⚠️", "❌"))</f>
        <v>✅</v>
      </c>
      <c r="E14" s="15" t="s">
        <v>1226</v>
      </c>
      <c r="F14" s="42">
        <f>IFERROR(AVERAGEIF('Sensory Integration'!S:S, "Vision", 'Sensory Integration'!L:L), 0)</f>
        <v>1</v>
      </c>
      <c r="G14" s="16" t="str">
        <f>IF(F14&lt;25%, "Blurry shapes", IF(F14&lt;50%, "Basic shapes", IF(F14&lt;75%, "Color emerging", "Clear vision")))</f>
        <v>Clear vision</v>
      </c>
      <c r="H14" s="16">
        <f>IFERROR(AVERAGEIF('Sensory Integration'!S:S, "Vision", 'Sensory Integration'!R:R), 0)</f>
        <v>1.7</v>
      </c>
    </row>
    <row r="15" spans="1:8">
      <c r="A15" s="15" t="s">
        <v>1227</v>
      </c>
      <c r="B15" s="42">
        <f>IF(B4&gt;=B6, 100%, AVERAGE('Circulatory System'!L2:L19))</f>
        <v>1</v>
      </c>
      <c r="C15" s="16" t="str">
        <f>IF(B15&gt;=95%, "✅", IF(B15&gt;=50%, "⚠️", "❌"))</f>
        <v>✅</v>
      </c>
      <c r="E15" s="15" t="s">
        <v>1228</v>
      </c>
      <c r="F15" s="42">
        <f>IFERROR(AVERAGEIF('Sensory Integration'!S:S, "Auditory", 'Sensory Integration'!L:L), 0)</f>
        <v>1</v>
      </c>
      <c r="G15" s="16" t="str">
        <f>IF(F15&lt;25%, "Loud sounds only", IF(F15&lt;50%, "Voice recognition", IF(F15&lt;75%, "Sound localization", "Full hearing")))</f>
        <v>Full hearing</v>
      </c>
      <c r="H15" s="16">
        <f>IFERROR(AVERAGEIF('Sensory Integration'!S:S, "Auditory", 'Sensory Integration'!R:R), 0)</f>
        <v>1.7</v>
      </c>
    </row>
    <row r="16" spans="1:8">
      <c r="A16" s="15" t="s">
        <v>1229</v>
      </c>
      <c r="B16" s="42">
        <f>MIN(100%, (B4/36))</f>
        <v>1</v>
      </c>
      <c r="C16" s="16" t="str">
        <f>IF(B16&gt;=95%, "✅", IF(B16&gt;=50%, "⚠️", "❌"))</f>
        <v>✅</v>
      </c>
      <c r="E16" s="15" t="s">
        <v>1230</v>
      </c>
      <c r="F16" s="42">
        <f>IFERROR(AVERAGEIF('Sensory Integration'!S:S, "Touch", 'Sensory Integration'!L:L), 0)</f>
        <v>1</v>
      </c>
      <c r="G16" s="16" t="str">
        <f>IF(F16&lt;25%, "Basic pressure", IF(F16&lt;50%, "Touch awareness", IF(F16&lt;75%, "Temperature sense", "Full sensation")))</f>
        <v>Full sensation</v>
      </c>
      <c r="H16" s="16">
        <f>IFERROR(AVERAGEIF('Sensory Integration'!S:S, "Touch", 'Sensory Integration'!R:R), 0)</f>
        <v>1.5500000000000003</v>
      </c>
    </row>
    <row r="17" spans="1:8">
      <c r="A17" s="15" t="s">
        <v>1231</v>
      </c>
      <c r="B17" s="42">
        <f>IF(B4&gt;=B6, 100%, AVERAGE('Digestive Control'!L2:L11))</f>
        <v>1</v>
      </c>
      <c r="C17" s="16" t="str">
        <f>IF(B17&gt;=95%, "✅", IF(B17&gt;=50%, "⚠️", "❌"))</f>
        <v>✅</v>
      </c>
      <c r="E17" s="15" t="s">
        <v>1232</v>
      </c>
      <c r="F17" s="42">
        <f>IFERROR(AVERAGEIF('Sensory Integration'!S:S, "Smell", 'Sensory Integration'!L:L), 0)</f>
        <v>1</v>
      </c>
      <c r="G17" s="16" t="str">
        <f>IF(F17&lt;25%, "Basic smell", IF(F17&lt;50%, "Familiar scents", IF(F17&lt;75%, "Good smell", "Full smell")))</f>
        <v>Full smell</v>
      </c>
      <c r="H17" s="16">
        <f>IFERROR(AVERAGEIF('Sensory Integration'!S:S, "Smell", 'Sensory Integration'!R:R), 0)</f>
        <v>1.55</v>
      </c>
    </row>
    <row r="18" spans="1:8">
      <c r="A18" s="15" t="s">
        <v>1233</v>
      </c>
      <c r="B18" s="42">
        <f>MIN(100%, (B4/28)*0.9)</f>
        <v>1</v>
      </c>
      <c r="C18" s="16" t="str">
        <f>IF(B18&gt;=95%, "✅", IF(B18&gt;=50%, "⚠️", "❌"))</f>
        <v>✅</v>
      </c>
      <c r="E18" s="15" t="s">
        <v>1234</v>
      </c>
      <c r="F18" s="42">
        <f>IFERROR(AVERAGEIF('Sensory Integration'!S:S, "Taste", 'Sensory Integration'!L:L), 0)</f>
        <v>1</v>
      </c>
      <c r="G18" s="16" t="str">
        <f>IF(F18&lt;25%, "Basic taste", IF(F18&lt;50%, "Sweet/bitter", IF(F18&lt;75%, "Most tastes", "Full taste")))</f>
        <v>Full taste</v>
      </c>
      <c r="H18" s="16">
        <f>IFERROR(AVERAGEIF('Sensory Integration'!S:S, "Taste", 'Sensory Integration'!R:R), 0)</f>
        <v>1.65</v>
      </c>
    </row>
    <row r="19" spans="1:8">
      <c r="A19" s="15"/>
      <c r="B19" s="16"/>
      <c r="C19" s="16"/>
      <c r="E19" s="15"/>
      <c r="F19" s="16"/>
      <c r="G19" s="16"/>
      <c r="H19" s="16"/>
    </row>
    <row r="20" spans="1:8" ht="18.75">
      <c r="A20" s="111" t="s">
        <v>1235</v>
      </c>
      <c r="B20" s="112">
        <f>AVERAGE(B14:B18)</f>
        <v>1</v>
      </c>
      <c r="C20" s="113" t="str">
        <f>IF(B20&gt;=95%, "🟢 AUTONOMOUS", IF(B20&gt;=70%, "🟢 SEMI-AUTONOMOUS", IF(B20&gt;=50%, "🟡 DEVELOPING", "🔴 DEPENDENT")))</f>
        <v>🟢 AUTONOMOUS</v>
      </c>
      <c r="E20" s="114" t="s">
        <v>1236</v>
      </c>
      <c r="F20" s="115">
        <f>AVERAGE(F14:F18)</f>
        <v>1</v>
      </c>
      <c r="G20" s="116" t="str">
        <f>IF(F20&gt;=75%, "🟢 Active", IF(F20&gt;=50%, "🟡 Developing", "🔴 Emerging"))</f>
        <v>🟢 Active</v>
      </c>
      <c r="H20" s="116">
        <f>AVERAGE(H14:H18)</f>
        <v>1.6300000000000001</v>
      </c>
    </row>
    <row r="23" spans="1:8">
      <c r="A23" s="343" t="s">
        <v>1237</v>
      </c>
      <c r="B23" s="321"/>
      <c r="C23" s="321"/>
      <c r="D23" s="321"/>
      <c r="E23" s="344" t="s">
        <v>1238</v>
      </c>
      <c r="F23" s="321"/>
      <c r="G23" s="321"/>
      <c r="H23" s="321"/>
    </row>
    <row r="24" spans="1:8">
      <c r="A24" s="94" t="s">
        <v>1239</v>
      </c>
      <c r="B24" s="94" t="s">
        <v>1240</v>
      </c>
      <c r="C24" s="94" t="s">
        <v>1241</v>
      </c>
      <c r="D24" s="94" t="s">
        <v>1242</v>
      </c>
      <c r="E24" s="94" t="s">
        <v>1243</v>
      </c>
      <c r="F24" s="94" t="s">
        <v>592</v>
      </c>
      <c r="G24" s="94" t="s">
        <v>703</v>
      </c>
      <c r="H24" s="94" t="s">
        <v>562</v>
      </c>
    </row>
    <row r="25" spans="1:8">
      <c r="A25" s="1" t="s">
        <v>1244</v>
      </c>
      <c r="B25" s="11">
        <f>MIN(100%, IF(B4&gt;=20, 100%, B4/20))</f>
        <v>1</v>
      </c>
      <c r="C25" t="s">
        <v>1245</v>
      </c>
      <c r="E25" s="1" t="s">
        <v>581</v>
      </c>
      <c r="F25" s="11">
        <f>IFERROR('DNA Loop Engine'!B19, 0)</f>
        <v>1</v>
      </c>
      <c r="G25" t="s">
        <v>1246</v>
      </c>
    </row>
    <row r="26" spans="1:8">
      <c r="A26" s="1" t="s">
        <v>1247</v>
      </c>
      <c r="B26" s="11">
        <f>MIN(100%, MAX(0, (B4-12)/36))</f>
        <v>1</v>
      </c>
      <c r="C26" t="s">
        <v>1248</v>
      </c>
      <c r="E26" s="1" t="s">
        <v>1249</v>
      </c>
      <c r="F26" s="11">
        <f>F20</f>
        <v>1</v>
      </c>
      <c r="G26" t="s">
        <v>1250</v>
      </c>
    </row>
    <row r="27" spans="1:8">
      <c r="A27" s="1" t="s">
        <v>1251</v>
      </c>
      <c r="B27" s="11">
        <f>MIN(100%, MAX(0, (B4-20)/36))</f>
        <v>0.83333333333333337</v>
      </c>
      <c r="C27" t="s">
        <v>1252</v>
      </c>
      <c r="E27" s="1" t="s">
        <v>1253</v>
      </c>
      <c r="F27" s="11">
        <f>F25*F26</f>
        <v>1</v>
      </c>
      <c r="G27" t="s">
        <v>1254</v>
      </c>
    </row>
    <row r="28" spans="1:8">
      <c r="A28" s="1" t="s">
        <v>1255</v>
      </c>
      <c r="B28" s="11">
        <f>MIN(100%, MAX(0, (B4-24)/48))</f>
        <v>0.54166666666666663</v>
      </c>
      <c r="C28" t="s">
        <v>1256</v>
      </c>
      <c r="E28" s="1" t="s">
        <v>1257</v>
      </c>
      <c r="F28" s="11">
        <f>MIN(100%, MAX(0, (B4-16)/40))</f>
        <v>0.85</v>
      </c>
      <c r="G28" t="s">
        <v>1258</v>
      </c>
    </row>
    <row r="29" spans="1:8">
      <c r="A29" s="1" t="s">
        <v>1259</v>
      </c>
      <c r="B29" s="11">
        <f>MIN(100%, MAX(0, (B4-24)/48))</f>
        <v>0.54166666666666663</v>
      </c>
      <c r="C29" t="s">
        <v>1260</v>
      </c>
      <c r="E29" s="1" t="s">
        <v>1261</v>
      </c>
      <c r="F29" s="11">
        <f>MIN(100%, MAX(0, (B4-12)/48))</f>
        <v>0.79166666666666663</v>
      </c>
      <c r="G29" t="s">
        <v>1262</v>
      </c>
    </row>
    <row r="30" spans="1:8">
      <c r="A30" s="1"/>
      <c r="E30" s="1"/>
    </row>
    <row r="31" spans="1:8">
      <c r="A31" s="95" t="s">
        <v>1263</v>
      </c>
      <c r="B31" s="96">
        <f>AVERAGE(B25:B29)</f>
        <v>0.78333333333333333</v>
      </c>
      <c r="C31" s="97"/>
      <c r="D31" s="97"/>
      <c r="E31" s="98" t="s">
        <v>1264</v>
      </c>
      <c r="F31" s="99">
        <f>AVERAGE(F25:F29)</f>
        <v>0.92833333333333334</v>
      </c>
      <c r="G31" s="100"/>
      <c r="H31" s="100"/>
    </row>
    <row r="34" spans="1:8" ht="18.75">
      <c r="A34" s="101" t="s">
        <v>1265</v>
      </c>
      <c r="B34" s="321"/>
      <c r="C34" s="321"/>
      <c r="D34" s="321"/>
      <c r="E34" s="321"/>
      <c r="F34" s="321"/>
      <c r="G34" s="321"/>
      <c r="H34" s="321"/>
    </row>
    <row r="35" spans="1:8">
      <c r="A35" s="94" t="s">
        <v>531</v>
      </c>
      <c r="B35" s="94" t="s">
        <v>1266</v>
      </c>
      <c r="C35" s="94" t="s">
        <v>1267</v>
      </c>
      <c r="D35" s="94" t="s">
        <v>1268</v>
      </c>
      <c r="E35" s="94" t="s">
        <v>1269</v>
      </c>
      <c r="F35" s="94" t="s">
        <v>1270</v>
      </c>
      <c r="G35" s="94" t="s">
        <v>562</v>
      </c>
      <c r="H35" s="94" t="s">
        <v>1271</v>
      </c>
    </row>
    <row r="36" spans="1:8">
      <c r="A36" s="102">
        <v>0</v>
      </c>
      <c r="B36" s="102" t="s">
        <v>1272</v>
      </c>
      <c r="C36" s="102" t="s">
        <v>1273</v>
      </c>
      <c r="D36" s="102" t="s">
        <v>1274</v>
      </c>
      <c r="E36" s="102" t="s">
        <v>1275</v>
      </c>
      <c r="F36" s="102" t="s">
        <v>1276</v>
      </c>
      <c r="G36" s="102" t="str">
        <f>IF(B4&gt;=40, "✅", "⏳")</f>
        <v>✅</v>
      </c>
      <c r="H36" s="102" t="str">
        <f>IF(B4&gt;=40, "Yes", "No")</f>
        <v>Yes</v>
      </c>
    </row>
    <row r="37" spans="1:8">
      <c r="A37">
        <v>2</v>
      </c>
      <c r="B37" t="s">
        <v>1277</v>
      </c>
      <c r="C37" t="s">
        <v>1278</v>
      </c>
      <c r="D37" t="s">
        <v>1279</v>
      </c>
      <c r="E37" t="s">
        <v>1280</v>
      </c>
      <c r="F37" t="s">
        <v>1281</v>
      </c>
      <c r="G37" t="str">
        <f>IF(B4&gt;=42, "✅", "⏳")</f>
        <v>✅</v>
      </c>
      <c r="H37" t="str">
        <f>IF(B4&gt;=42, "Yes", "No")</f>
        <v>Yes</v>
      </c>
    </row>
    <row r="38" spans="1:8">
      <c r="A38" s="102">
        <v>4</v>
      </c>
      <c r="B38" s="102" t="s">
        <v>1282</v>
      </c>
      <c r="C38" s="102" t="s">
        <v>1283</v>
      </c>
      <c r="D38" s="102" t="s">
        <v>1284</v>
      </c>
      <c r="E38" s="102" t="s">
        <v>1285</v>
      </c>
      <c r="F38" s="102" t="s">
        <v>1286</v>
      </c>
      <c r="G38" s="102" t="str">
        <f>IF(B4&gt;=44, "✅", "⏳")</f>
        <v>✅</v>
      </c>
      <c r="H38" s="102" t="str">
        <f>IF(B4&gt;=44, "Yes", "No")</f>
        <v>Yes</v>
      </c>
    </row>
    <row r="39" spans="1:8">
      <c r="A39">
        <v>8</v>
      </c>
      <c r="B39" t="s">
        <v>1287</v>
      </c>
      <c r="C39" t="s">
        <v>1288</v>
      </c>
      <c r="D39" t="s">
        <v>1289</v>
      </c>
      <c r="E39" t="s">
        <v>1290</v>
      </c>
      <c r="F39" t="s">
        <v>1291</v>
      </c>
      <c r="G39" t="str">
        <f>IF(B4&gt;=48, "✅", "⏳")</f>
        <v>✅</v>
      </c>
      <c r="H39" t="str">
        <f>IF(B4&gt;=48, "Yes", "No")</f>
        <v>Yes</v>
      </c>
    </row>
    <row r="40" spans="1:8">
      <c r="A40" s="102">
        <v>12</v>
      </c>
      <c r="B40" s="102" t="s">
        <v>1292</v>
      </c>
      <c r="C40" s="102" t="s">
        <v>1293</v>
      </c>
      <c r="D40" s="102" t="s">
        <v>1294</v>
      </c>
      <c r="E40" s="102" t="s">
        <v>1295</v>
      </c>
      <c r="F40" s="102" t="s">
        <v>1296</v>
      </c>
      <c r="G40" s="102" t="str">
        <f>IF(B4&gt;=52, "✅", "⏳")</f>
        <v>⏳</v>
      </c>
      <c r="H40" s="102" t="str">
        <f>IF(B4&gt;=52, "Yes", "No")</f>
        <v>No</v>
      </c>
    </row>
    <row r="41" spans="1:8">
      <c r="A41">
        <v>16</v>
      </c>
      <c r="B41" t="s">
        <v>1297</v>
      </c>
      <c r="C41" t="s">
        <v>1298</v>
      </c>
      <c r="D41" t="s">
        <v>1299</v>
      </c>
      <c r="E41" t="s">
        <v>1300</v>
      </c>
      <c r="F41" t="s">
        <v>1301</v>
      </c>
      <c r="G41" t="str">
        <f>IF(B4&gt;=56, "✅", "⏳")</f>
        <v>⏳</v>
      </c>
      <c r="H41" t="str">
        <f>IF(B4&gt;=56, "Yes", "No")</f>
        <v>No</v>
      </c>
    </row>
    <row r="42" spans="1:8">
      <c r="A42" s="102">
        <v>20</v>
      </c>
      <c r="B42" s="102" t="s">
        <v>1302</v>
      </c>
      <c r="C42" s="102" t="s">
        <v>1303</v>
      </c>
      <c r="D42" s="102" t="s">
        <v>1304</v>
      </c>
      <c r="E42" s="102" t="s">
        <v>1305</v>
      </c>
      <c r="F42" s="102" t="s">
        <v>1306</v>
      </c>
      <c r="G42" s="102" t="str">
        <f>IF(B4&gt;=60, "✅", "⏳")</f>
        <v>⏳</v>
      </c>
      <c r="H42" s="102" t="str">
        <f>IF(B4&gt;=60, "Yes", "No")</f>
        <v>No</v>
      </c>
    </row>
    <row r="43" spans="1:8">
      <c r="A43">
        <v>24</v>
      </c>
      <c r="B43" t="s">
        <v>1307</v>
      </c>
      <c r="C43" t="s">
        <v>1308</v>
      </c>
      <c r="D43" t="s">
        <v>1309</v>
      </c>
      <c r="E43" t="s">
        <v>1310</v>
      </c>
      <c r="F43" t="s">
        <v>1311</v>
      </c>
      <c r="G43" t="str">
        <f>IF(B4&gt;=64, "✅", "⏳")</f>
        <v>⏳</v>
      </c>
      <c r="H43" t="str">
        <f>IF(B4&gt;=64, "Yes", "No")</f>
        <v>No</v>
      </c>
    </row>
    <row r="44" spans="1:8">
      <c r="A44" s="102">
        <v>32</v>
      </c>
      <c r="B44" s="102" t="s">
        <v>1312</v>
      </c>
      <c r="C44" s="102" t="s">
        <v>1313</v>
      </c>
      <c r="D44" s="102" t="s">
        <v>1314</v>
      </c>
      <c r="E44" s="102" t="s">
        <v>1315</v>
      </c>
      <c r="F44" s="102" t="s">
        <v>1316</v>
      </c>
      <c r="G44" s="102" t="str">
        <f>IF(B4&gt;=72, "✅", "⏳")</f>
        <v>⏳</v>
      </c>
      <c r="H44" s="102" t="str">
        <f>IF(B4&gt;=72, "Yes", "No")</f>
        <v>No</v>
      </c>
    </row>
    <row r="45" spans="1:8">
      <c r="A45">
        <v>40</v>
      </c>
      <c r="B45" t="s">
        <v>1317</v>
      </c>
      <c r="C45" t="s">
        <v>1318</v>
      </c>
      <c r="D45" t="s">
        <v>1319</v>
      </c>
      <c r="E45" t="s">
        <v>1320</v>
      </c>
      <c r="F45" t="s">
        <v>1321</v>
      </c>
      <c r="G45" t="str">
        <f>IF(B4&gt;=80, "✅", "⏳")</f>
        <v>⏳</v>
      </c>
      <c r="H45" t="str">
        <f>IF(B4&gt;=80, "Yes", "No")</f>
        <v>No</v>
      </c>
    </row>
    <row r="46" spans="1:8">
      <c r="A46" s="102">
        <v>48</v>
      </c>
      <c r="B46" s="102" t="s">
        <v>1322</v>
      </c>
      <c r="C46" s="102" t="s">
        <v>1323</v>
      </c>
      <c r="D46" s="102" t="s">
        <v>1324</v>
      </c>
      <c r="E46" s="102" t="s">
        <v>1325</v>
      </c>
      <c r="F46" s="102" t="s">
        <v>1326</v>
      </c>
      <c r="G46" s="102" t="str">
        <f>IF(B4&gt;=88, "✅", "⏳")</f>
        <v>⏳</v>
      </c>
      <c r="H46" s="102" t="str">
        <f>IF(B4&gt;=88, "Yes", "No")</f>
        <v>No</v>
      </c>
    </row>
    <row r="48" spans="1:8">
      <c r="A48" s="104" t="s">
        <v>1327</v>
      </c>
      <c r="B48" s="103">
        <f>COUNTIF(H36:H46, "Yes")</f>
        <v>4</v>
      </c>
      <c r="C48" s="103" t="s">
        <v>1328</v>
      </c>
      <c r="D48" s="103"/>
      <c r="E48" s="103" t="s">
        <v>1329</v>
      </c>
      <c r="F48" s="105">
        <f>B48/11</f>
        <v>0.36363636363636365</v>
      </c>
      <c r="G48" s="103"/>
      <c r="H48" s="103"/>
    </row>
    <row r="49" spans="1:8">
      <c r="A49" s="1" t="s">
        <v>1330</v>
      </c>
      <c r="B49" t="str">
        <f>IF(B4&lt;40, "Birth", IF(B4&lt;42, "Lifts head briefly", IF(B4&lt;44, "Smoother limb movements", IF(B4&lt;48, "Holds head up 45°", IF(B4&lt;52, "Head control when held", IF(B4&lt;56, "Rolls front to back", IF(B4&lt;60, "Sits with support", IF(B4&lt;64, "Sits independently", IF(B4&lt;72, "Crawls, pulls to stand", IF(B4&lt;80, "Cruises furniture", IF(B4&lt;88, "First steps", "All milestones achieved!")))))))))))</f>
        <v>Head control when held</v>
      </c>
    </row>
    <row r="52" spans="1:8" ht="18.75">
      <c r="A52" s="106" t="s">
        <v>1331</v>
      </c>
      <c r="B52" s="321"/>
      <c r="C52" s="321"/>
      <c r="D52" s="321"/>
      <c r="E52" s="321"/>
      <c r="F52" s="321"/>
      <c r="G52" s="321"/>
      <c r="H52" s="321"/>
    </row>
    <row r="54" spans="1:8">
      <c r="A54" s="107" t="s">
        <v>1332</v>
      </c>
      <c r="B54" s="107" t="s">
        <v>592</v>
      </c>
      <c r="C54" s="107" t="s">
        <v>888</v>
      </c>
      <c r="D54" s="107"/>
      <c r="E54" s="108" t="s">
        <v>1333</v>
      </c>
      <c r="F54" s="108" t="s">
        <v>562</v>
      </c>
      <c r="G54" s="108"/>
      <c r="H54" s="108"/>
    </row>
    <row r="55" spans="1:8">
      <c r="A55" s="1" t="s">
        <v>1334</v>
      </c>
      <c r="B55" s="11">
        <f>B20</f>
        <v>1</v>
      </c>
      <c r="C55" t="str">
        <f>REPT("█", ROUND(B55*10,0)) &amp; REPT("░", 10-ROUND(B55*10,0))</f>
        <v>██████████</v>
      </c>
      <c r="E55" s="1" t="s">
        <v>1335</v>
      </c>
      <c r="F55" t="str">
        <f>IF(AND(B14&gt;=80%, B15&gt;=80%), "🟢 SYNCHRONIZED", IF(AND(B14&gt;=50%, B15&gt;=50%), "🟡 SYNCING", "🔴 DEVELOPING"))</f>
        <v>🟢 SYNCHRONIZED</v>
      </c>
    </row>
    <row r="56" spans="1:8">
      <c r="A56" s="1" t="s">
        <v>1336</v>
      </c>
      <c r="B56" s="11">
        <f>F20</f>
        <v>1</v>
      </c>
      <c r="C56" t="str">
        <f>REPT("█", ROUND(B56*10,0)) &amp; REPT("░", 10-ROUND(B56*10,0))</f>
        <v>██████████</v>
      </c>
      <c r="E56" s="1" t="s">
        <v>1337</v>
      </c>
      <c r="F56" t="str">
        <f>IF(AND(B16&gt;=80%, B31&gt;=50%), "🟢 INTEGRATED", IF(B16&gt;=50%, "🔄 FORMING", "⏳ EMERGING"))</f>
        <v>🟢 INTEGRATED</v>
      </c>
    </row>
    <row r="57" spans="1:8">
      <c r="A57" s="1" t="s">
        <v>1338</v>
      </c>
      <c r="B57" s="11">
        <f>B31</f>
        <v>0.78333333333333333</v>
      </c>
      <c r="C57" t="str">
        <f>REPT("█", ROUND(B57*10,0)) &amp; REPT("░", 10-ROUND(B57*10,0))</f>
        <v>████████░░</v>
      </c>
      <c r="E57" s="1" t="s">
        <v>1339</v>
      </c>
      <c r="F57" t="str">
        <f>IF(AND(F20&gt;=70%, F31&gt;=50%), "🟢 BOUND", IF(F20&gt;=40%, "🔄 EMERGING", "⏳ PRE-BINDING"))</f>
        <v>🟢 BOUND</v>
      </c>
    </row>
    <row r="58" spans="1:8">
      <c r="A58" s="1" t="s">
        <v>1340</v>
      </c>
      <c r="B58" s="11">
        <f>F31</f>
        <v>0.92833333333333334</v>
      </c>
      <c r="C58" t="str">
        <f>REPT("█", ROUND(B58*10,0)) &amp; REPT("░", 10-ROUND(B58*10,0))</f>
        <v>█████████░</v>
      </c>
      <c r="E58" s="1" t="s">
        <v>1341</v>
      </c>
      <c r="F58" t="str">
        <f>IF(B20&gt;=80%, "🟢 STABLE", IF(B20&gt;=50%, "🟡 STABILIZING", "🔴 UNSTABLE"))</f>
        <v>🟢 STABLE</v>
      </c>
    </row>
    <row r="59" spans="1:8">
      <c r="A59" s="1" t="s">
        <v>1342</v>
      </c>
      <c r="B59" s="11">
        <f>F48</f>
        <v>0.36363636363636365</v>
      </c>
      <c r="C59" t="str">
        <f>REPT("█", ROUND(B59*10,0)) &amp; REPT("░", 10-ROUND(B59*10,0))</f>
        <v>████░░░░░░</v>
      </c>
      <c r="E59" s="1" t="s">
        <v>672</v>
      </c>
      <c r="F59" t="str">
        <f>IF(B4&gt;=80, "🟢 FORMING", IF(B4&gt;=60, "🔄 EMERGING", "⏳ PRE-IDENTITY"))</f>
        <v>⏳ PRE-IDENTITY</v>
      </c>
    </row>
    <row r="60" spans="1:8">
      <c r="A60" s="1"/>
    </row>
    <row r="61" spans="1:8" ht="21">
      <c r="A61" s="90" t="s">
        <v>1343</v>
      </c>
      <c r="B61" s="109">
        <f>AVERAGE(B55:B59)</f>
        <v>0.81506060606060604</v>
      </c>
      <c r="C61" s="91" t="str">
        <f>REPT("🟢", ROUND(B61*5,0)) &amp; REPT("⚪", 5-ROUND(B61*5,0))</f>
        <v>🟢🟢🟢🟢⚪</v>
      </c>
    </row>
    <row r="62" spans="1:8">
      <c r="A62" s="92" t="s">
        <v>1344</v>
      </c>
      <c r="B62" s="93" t="str">
        <f>IF(B4&lt;40, "🔄 GESTATING", IF(B61&gt;=80%, "🟢 Advanced", IF(B61&gt;=50%, "🟡 Developing Normally", IF(B61&gt;=25%, "🟠 Delayed", "🔴 Concern"))))</f>
        <v>🟢 Advanced</v>
      </c>
      <c r="C62" s="93"/>
    </row>
    <row r="64" spans="1:8">
      <c r="A64" s="345" t="s">
        <v>1345</v>
      </c>
      <c r="B64" s="321"/>
      <c r="C64" s="321"/>
      <c r="D64" s="321"/>
      <c r="E64" s="321"/>
      <c r="F64" s="321"/>
      <c r="G64" s="321"/>
      <c r="H64" s="321"/>
    </row>
    <row r="65" spans="1:8">
      <c r="A65" s="94" t="s">
        <v>718</v>
      </c>
      <c r="B65" s="94" t="s">
        <v>1152</v>
      </c>
      <c r="C65" s="94" t="s">
        <v>1153</v>
      </c>
    </row>
    <row r="66" spans="1:8">
      <c r="A66" t="s">
        <v>833</v>
      </c>
      <c r="B66">
        <f>'DNA Loop Engine'!B4</f>
        <v>4000</v>
      </c>
      <c r="C66" t="s">
        <v>1155</v>
      </c>
    </row>
    <row r="67" spans="1:8">
      <c r="A67" t="s">
        <v>833</v>
      </c>
      <c r="B67">
        <f>'DNA Loop Engine'!B5</f>
        <v>50</v>
      </c>
      <c r="C67" t="s">
        <v>1346</v>
      </c>
    </row>
    <row r="68" spans="1:8">
      <c r="A68" t="s">
        <v>882</v>
      </c>
      <c r="B68" s="11">
        <f>'Circulatory System'!L2</f>
        <v>1</v>
      </c>
      <c r="C68" t="s">
        <v>1347</v>
      </c>
    </row>
    <row r="69" spans="1:8">
      <c r="A69" t="s">
        <v>836</v>
      </c>
      <c r="B69" s="11">
        <f>'Respiratory Control'!L2</f>
        <v>1</v>
      </c>
      <c r="C69" t="s">
        <v>1348</v>
      </c>
    </row>
    <row r="70" spans="1:8">
      <c r="A70" t="s">
        <v>1170</v>
      </c>
      <c r="B70" s="11">
        <f>'Sensory Integration'!L2</f>
        <v>1</v>
      </c>
      <c r="C70" t="s">
        <v>1349</v>
      </c>
    </row>
    <row r="71" spans="1:8">
      <c r="A71" t="s">
        <v>1350</v>
      </c>
      <c r="B71">
        <f>COUNTA('Adult Anatomy Engine'!A:A)-1</f>
        <v>189</v>
      </c>
      <c r="C71" t="s">
        <v>1351</v>
      </c>
    </row>
    <row r="75" spans="1:8" ht="18.75">
      <c r="A75" s="117" t="s">
        <v>1352</v>
      </c>
      <c r="B75" s="321"/>
      <c r="C75" s="321"/>
      <c r="D75" s="321"/>
      <c r="E75" s="321"/>
      <c r="F75" s="321"/>
      <c r="G75" s="321"/>
      <c r="H75" s="321"/>
    </row>
    <row r="77" spans="1:8">
      <c r="A77" s="94" t="s">
        <v>42</v>
      </c>
      <c r="B77" s="94" t="s">
        <v>1353</v>
      </c>
      <c r="C77" s="94" t="s">
        <v>44</v>
      </c>
      <c r="D77" s="94" t="s">
        <v>1354</v>
      </c>
      <c r="E77" s="94" t="s">
        <v>1355</v>
      </c>
      <c r="F77" s="94" t="s">
        <v>1241</v>
      </c>
      <c r="G77" s="94" t="s">
        <v>1356</v>
      </c>
      <c r="H77" s="94" t="s">
        <v>562</v>
      </c>
    </row>
    <row r="78" spans="1:8">
      <c r="A78" s="118" t="s">
        <v>1357</v>
      </c>
      <c r="B78" t="s">
        <v>1358</v>
      </c>
      <c r="C78">
        <v>0</v>
      </c>
      <c r="D78">
        <v>4</v>
      </c>
      <c r="E78" s="11">
        <f>IF(B4&lt;40, 0%, MIN(100%, MAX(0, (B4-40)/(44-40))))</f>
        <v>1</v>
      </c>
      <c r="F78" t="s">
        <v>1359</v>
      </c>
      <c r="G78" t="s">
        <v>260</v>
      </c>
      <c r="H78" t="str">
        <f>IF(E78&gt;=100%, "Active", IF(E78&gt;0%, "🔄 Developing", "⏳ Pending"))</f>
        <v>Active</v>
      </c>
    </row>
    <row r="79" spans="1:8">
      <c r="A79" s="118" t="s">
        <v>1357</v>
      </c>
      <c r="B79" t="s">
        <v>1360</v>
      </c>
      <c r="C79">
        <v>0</v>
      </c>
      <c r="D79">
        <v>4</v>
      </c>
      <c r="E79" s="11">
        <f>IF(B4&lt;40, 0%, MIN(100%, MAX(0, (B4-40)/(44-40))))</f>
        <v>1</v>
      </c>
      <c r="F79" t="s">
        <v>1361</v>
      </c>
      <c r="G79" t="s">
        <v>260</v>
      </c>
      <c r="H79" t="str">
        <f>IF(E79&gt;=100%, "Active", IF(E79&gt;0%, "🔄 Developing", "⏳ Pending"))</f>
        <v>Active</v>
      </c>
    </row>
    <row r="80" spans="1:8">
      <c r="A80" s="118" t="s">
        <v>1357</v>
      </c>
      <c r="B80" t="s">
        <v>1362</v>
      </c>
      <c r="C80">
        <v>0</v>
      </c>
      <c r="D80">
        <v>6</v>
      </c>
      <c r="E80" s="11">
        <f>IF(B4&lt;40, 0%, MIN(100%, MAX(0, (B4-40)/(46-40))))</f>
        <v>1</v>
      </c>
      <c r="F80" t="s">
        <v>1363</v>
      </c>
      <c r="G80" t="s">
        <v>262</v>
      </c>
      <c r="H80" t="str">
        <f>IF(E80&gt;=100%, "Active", IF(E80&gt;0%, "🔄 Developing", "⏳ Pending"))</f>
        <v>Active</v>
      </c>
    </row>
    <row r="81" spans="1:8">
      <c r="A81" s="103" t="s">
        <v>1364</v>
      </c>
      <c r="B81" t="s">
        <v>1365</v>
      </c>
      <c r="C81">
        <v>0</v>
      </c>
      <c r="D81">
        <v>12</v>
      </c>
      <c r="E81" s="11">
        <f>IF(B4&lt;40, 0%, MIN(100%, MAX(0, (B4-40)/(52-40))))</f>
        <v>0.83333333333333337</v>
      </c>
      <c r="F81" t="s">
        <v>1366</v>
      </c>
      <c r="G81" t="s">
        <v>456</v>
      </c>
      <c r="H81" t="str">
        <f>IF(E81&gt;=100%, "✅ Mature", "🔄 Developing")</f>
        <v>🔄 Developing</v>
      </c>
    </row>
    <row r="82" spans="1:8">
      <c r="A82" s="103" t="s">
        <v>1364</v>
      </c>
      <c r="B82" t="s">
        <v>1367</v>
      </c>
      <c r="C82">
        <v>4</v>
      </c>
      <c r="D82">
        <v>24</v>
      </c>
      <c r="E82" s="11">
        <f>IF(B4&lt;44, 0%, MIN(100%, MAX(0, (B4-44)/(64-44))))</f>
        <v>0.3</v>
      </c>
      <c r="F82" t="s">
        <v>1368</v>
      </c>
      <c r="G82" t="s">
        <v>258</v>
      </c>
      <c r="H82" t="str">
        <f>IF(E82&gt;=100%, "✅ Mature", "🔄 Developing")</f>
        <v>🔄 Developing</v>
      </c>
    </row>
    <row r="83" spans="1:8">
      <c r="A83" s="103" t="s">
        <v>1364</v>
      </c>
      <c r="B83" t="s">
        <v>1369</v>
      </c>
      <c r="C83">
        <v>16</v>
      </c>
      <c r="D83">
        <v>32</v>
      </c>
      <c r="E83" s="11">
        <f>IF(B4&lt;56, 0%, MIN(100%, MAX(0, (B4-56)/(72-56))))</f>
        <v>0</v>
      </c>
      <c r="F83" t="s">
        <v>1370</v>
      </c>
      <c r="G83" t="s">
        <v>258</v>
      </c>
      <c r="H83" t="str">
        <f>IF(E83&gt;=100%, "✅ Mature", "🔄 Developing")</f>
        <v>🔄 Developing</v>
      </c>
    </row>
    <row r="84" spans="1:8">
      <c r="A84" s="103" t="s">
        <v>1364</v>
      </c>
      <c r="B84" t="s">
        <v>1371</v>
      </c>
      <c r="C84">
        <v>24</v>
      </c>
      <c r="D84">
        <v>40</v>
      </c>
      <c r="E84" s="11">
        <f>IF(B4&lt;64, 0%, MIN(100%, MAX(0, (B4-64)/(80-64))))</f>
        <v>0</v>
      </c>
      <c r="F84" t="s">
        <v>1372</v>
      </c>
      <c r="G84" t="s">
        <v>456</v>
      </c>
      <c r="H84" t="str">
        <f>IF(E84&gt;=100%, "✅ Mature", "🔄 Developing")</f>
        <v>🔄 Developing</v>
      </c>
    </row>
    <row r="85" spans="1:8">
      <c r="A85" s="103" t="s">
        <v>1364</v>
      </c>
      <c r="B85" t="s">
        <v>1373</v>
      </c>
      <c r="C85">
        <v>40</v>
      </c>
      <c r="D85">
        <v>56</v>
      </c>
      <c r="E85" s="11">
        <f>IF(B4&lt;80, 0%, MIN(100%, MAX(0, (B4-80)/(96-80))))</f>
        <v>0</v>
      </c>
      <c r="F85" t="s">
        <v>1323</v>
      </c>
      <c r="G85" t="s">
        <v>456</v>
      </c>
      <c r="H85" t="str">
        <f>IF(E85&gt;=100%, "✅ Mature", "🔄 Developing")</f>
        <v>🔄 Developing</v>
      </c>
    </row>
    <row r="86" spans="1:8">
      <c r="A86" s="119" t="s">
        <v>919</v>
      </c>
      <c r="B86" t="s">
        <v>1374</v>
      </c>
      <c r="C86">
        <v>0</v>
      </c>
      <c r="D86">
        <v>8</v>
      </c>
      <c r="E86" s="11">
        <f>IF(B4&lt;40, 0%, MIN(100%, MAX(0, (B4-40)/(48-40))))</f>
        <v>1</v>
      </c>
      <c r="F86" t="s">
        <v>1375</v>
      </c>
      <c r="G86" t="s">
        <v>923</v>
      </c>
      <c r="H86" t="str">
        <f>IF(E86&gt;=100%, "✅ Mature", "🔄 Developing")</f>
        <v>✅ Mature</v>
      </c>
    </row>
    <row r="87" spans="1:8">
      <c r="A87" s="119" t="s">
        <v>919</v>
      </c>
      <c r="B87" t="s">
        <v>1376</v>
      </c>
      <c r="C87">
        <v>4</v>
      </c>
      <c r="D87">
        <v>16</v>
      </c>
      <c r="E87" s="11">
        <f>IF(B4&lt;44, 0%, MIN(100%, MAX(0, (B4-44)/(56-44))))</f>
        <v>0.5</v>
      </c>
      <c r="F87" t="s">
        <v>1377</v>
      </c>
      <c r="G87" t="s">
        <v>923</v>
      </c>
      <c r="H87" t="str">
        <f>IF(E87&gt;=100%, "✅ Mature", "🔄 Developing")</f>
        <v>🔄 Developing</v>
      </c>
    </row>
    <row r="88" spans="1:8">
      <c r="A88" s="119" t="s">
        <v>919</v>
      </c>
      <c r="B88" t="s">
        <v>1378</v>
      </c>
      <c r="C88">
        <v>8</v>
      </c>
      <c r="D88">
        <v>20</v>
      </c>
      <c r="E88" s="11">
        <f>IF(B4&lt;48, 0%, MIN(100%, MAX(0, (B4-48)/(60-48))))</f>
        <v>0.16666666666666666</v>
      </c>
      <c r="F88" t="s">
        <v>1379</v>
      </c>
      <c r="G88" t="s">
        <v>923</v>
      </c>
      <c r="H88" t="str">
        <f>IF(E88&gt;=100%, "✅ Mature", "🔄 Developing")</f>
        <v>🔄 Developing</v>
      </c>
    </row>
    <row r="89" spans="1:8">
      <c r="A89" s="120" t="s">
        <v>1380</v>
      </c>
      <c r="B89" t="s">
        <v>1381</v>
      </c>
      <c r="C89">
        <v>0</v>
      </c>
      <c r="D89">
        <v>4</v>
      </c>
      <c r="E89" s="11">
        <f>IF(B4&lt;40, 0%, MIN(100%, MAX(0, (B4-40)/(44-40))))</f>
        <v>1</v>
      </c>
      <c r="F89" t="s">
        <v>1382</v>
      </c>
      <c r="G89" t="s">
        <v>1383</v>
      </c>
      <c r="H89" t="str">
        <f>IF(E89&gt;=100%, "✅ Mature", "🔄 Developing")</f>
        <v>✅ Mature</v>
      </c>
    </row>
    <row r="90" spans="1:8">
      <c r="A90" s="120" t="s">
        <v>1380</v>
      </c>
      <c r="B90" t="s">
        <v>1384</v>
      </c>
      <c r="C90">
        <v>2</v>
      </c>
      <c r="D90">
        <v>12</v>
      </c>
      <c r="E90" s="11">
        <f>IF(B4&lt;42, 0%, MIN(100%, MAX(0, (B4-42)/(52-42))))</f>
        <v>0.8</v>
      </c>
      <c r="F90" t="s">
        <v>1385</v>
      </c>
      <c r="G90" t="s">
        <v>1383</v>
      </c>
      <c r="H90" t="str">
        <f>IF(E90&gt;=100%, "✅ Mature", "🔄 Developing")</f>
        <v>🔄 Developing</v>
      </c>
    </row>
    <row r="91" spans="1:8">
      <c r="A91" s="120" t="s">
        <v>1380</v>
      </c>
      <c r="B91" t="s">
        <v>1386</v>
      </c>
      <c r="C91">
        <v>8</v>
      </c>
      <c r="D91">
        <v>24</v>
      </c>
      <c r="E91" s="11">
        <f>IF(B4&lt;48, 0%, MIN(100%, MAX(0, (B4-48)/(64-48))))</f>
        <v>0.125</v>
      </c>
      <c r="F91" t="s">
        <v>1387</v>
      </c>
      <c r="G91" t="s">
        <v>1383</v>
      </c>
      <c r="H91" t="str">
        <f>IF(E91&gt;=100%, "✅ Mature", "🔄 Developing")</f>
        <v>🔄 Developing</v>
      </c>
    </row>
    <row r="92" spans="1:8">
      <c r="A92" s="121" t="s">
        <v>1388</v>
      </c>
      <c r="B92" t="s">
        <v>1389</v>
      </c>
      <c r="C92">
        <v>16</v>
      </c>
      <c r="D92">
        <v>32</v>
      </c>
      <c r="E92" s="11">
        <f>IF(B4&lt;56, 0%, MIN(100%, MAX(0, (B4-56)/(72-56))))</f>
        <v>0</v>
      </c>
      <c r="F92" t="s">
        <v>1390</v>
      </c>
      <c r="G92" t="s">
        <v>1391</v>
      </c>
      <c r="H92" t="str">
        <f>IF(E92&gt;=100%, "✅ Mature", "🔄 Developing")</f>
        <v>🔄 Developing</v>
      </c>
    </row>
    <row r="93" spans="1:8">
      <c r="A93" s="121" t="s">
        <v>1388</v>
      </c>
      <c r="B93" t="s">
        <v>1392</v>
      </c>
      <c r="C93">
        <v>12</v>
      </c>
      <c r="D93">
        <v>28</v>
      </c>
      <c r="E93" s="11">
        <f>IF(B4&lt;52, 0%, MIN(100%, MAX(0, (B4-52)/(68-52))))</f>
        <v>0</v>
      </c>
      <c r="F93" t="s">
        <v>1393</v>
      </c>
      <c r="G93" t="s">
        <v>1391</v>
      </c>
      <c r="H93" t="str">
        <f>IF(E93&gt;=100%, "✅ Mature", "🔄 Developing")</f>
        <v>🔄 Developing</v>
      </c>
    </row>
    <row r="94" spans="1:8">
      <c r="A94" s="122" t="s">
        <v>1394</v>
      </c>
      <c r="B94" t="s">
        <v>1395</v>
      </c>
      <c r="C94">
        <v>4</v>
      </c>
      <c r="D94">
        <v>12</v>
      </c>
      <c r="E94" s="11">
        <f>IF(B4&lt;44, 0%, MIN(100%, MAX(0, (B4-44)/(52-44))))</f>
        <v>0.75</v>
      </c>
      <c r="F94" t="s">
        <v>1396</v>
      </c>
      <c r="G94" t="s">
        <v>1397</v>
      </c>
      <c r="H94" t="str">
        <f>IF(E94&gt;=100%, "✅ Mature", "🔄 Developing")</f>
        <v>🔄 Developing</v>
      </c>
    </row>
    <row r="95" spans="1:8">
      <c r="A95" s="122" t="s">
        <v>1394</v>
      </c>
      <c r="B95" t="s">
        <v>1398</v>
      </c>
      <c r="C95">
        <v>12</v>
      </c>
      <c r="D95">
        <v>36</v>
      </c>
      <c r="E95" s="11">
        <f>IF(B4&lt;52, 0%, MIN(100%, MAX(0, (B4-52)/(76-52))))</f>
        <v>0</v>
      </c>
      <c r="F95" t="s">
        <v>1399</v>
      </c>
      <c r="G95" t="s">
        <v>1397</v>
      </c>
      <c r="H95" t="str">
        <f>IF(E95&gt;=100%, "✅ Forming", "🔄 Forming")</f>
        <v>🔄 Forming</v>
      </c>
    </row>
    <row r="98" spans="1:8">
      <c r="A98" s="346" t="s">
        <v>1400</v>
      </c>
      <c r="B98" s="321"/>
      <c r="C98" s="321"/>
      <c r="D98" s="321"/>
      <c r="E98" s="321"/>
      <c r="F98" s="321"/>
      <c r="G98" s="321"/>
      <c r="H98" s="321"/>
    </row>
    <row r="100" spans="1:8">
      <c r="A100" s="94" t="s">
        <v>42</v>
      </c>
      <c r="B100" s="94" t="s">
        <v>1401</v>
      </c>
      <c r="C100" s="94" t="s">
        <v>1402</v>
      </c>
      <c r="D100" s="94" t="s">
        <v>1271</v>
      </c>
    </row>
    <row r="101" spans="1:8">
      <c r="A101" t="s">
        <v>1357</v>
      </c>
      <c r="B101">
        <v>3</v>
      </c>
      <c r="C101" s="11">
        <f>AVERAGE(E78:E80)</f>
        <v>1</v>
      </c>
      <c r="D101">
        <f>COUNTIF(E78:E80, "&gt;=100%")</f>
        <v>3</v>
      </c>
    </row>
    <row r="102" spans="1:8">
      <c r="A102" t="s">
        <v>1364</v>
      </c>
      <c r="B102">
        <v>5</v>
      </c>
      <c r="C102" s="11">
        <f>AVERAGE(E81:E85)</f>
        <v>0.22666666666666666</v>
      </c>
      <c r="D102">
        <f>COUNTIF(E81:E85, "&gt;=100%")</f>
        <v>0</v>
      </c>
    </row>
    <row r="103" spans="1:8">
      <c r="A103" t="s">
        <v>919</v>
      </c>
      <c r="B103">
        <v>3</v>
      </c>
      <c r="C103" s="11">
        <f>AVERAGE(E86:E88)</f>
        <v>0.55555555555555558</v>
      </c>
      <c r="D103">
        <f>COUNTIF(E86:E88, "&gt;=100%")</f>
        <v>1</v>
      </c>
    </row>
    <row r="104" spans="1:8">
      <c r="A104" t="s">
        <v>1380</v>
      </c>
      <c r="B104">
        <v>3</v>
      </c>
      <c r="C104" s="11">
        <f>AVERAGE(E89:E91)</f>
        <v>0.64166666666666672</v>
      </c>
      <c r="D104">
        <f>COUNTIF(E89:E91, "&gt;=100%")</f>
        <v>1</v>
      </c>
    </row>
    <row r="105" spans="1:8">
      <c r="A105" t="s">
        <v>1388</v>
      </c>
      <c r="B105">
        <v>2</v>
      </c>
      <c r="C105" s="11">
        <f>AVERAGE(E92:E93)</f>
        <v>0</v>
      </c>
      <c r="D105">
        <f>COUNTIF(E92:E93, "&gt;=100%")</f>
        <v>0</v>
      </c>
    </row>
    <row r="106" spans="1:8">
      <c r="A106" t="s">
        <v>1394</v>
      </c>
      <c r="B106">
        <v>2</v>
      </c>
      <c r="C106" s="11">
        <f>AVERAGE(E94:E95)</f>
        <v>0.375</v>
      </c>
      <c r="D106">
        <f>COUNTIF(E94:E95, "&gt;=100%")</f>
        <v>0</v>
      </c>
    </row>
    <row r="107" spans="1:8">
      <c r="C107" s="12"/>
    </row>
    <row r="108" spans="1:8">
      <c r="A108" s="104" t="s">
        <v>1148</v>
      </c>
      <c r="B108" s="104">
        <v>18</v>
      </c>
      <c r="C108" s="123">
        <f>AVERAGE(E78:E95)</f>
        <v>0.47083333333333344</v>
      </c>
      <c r="D108" s="104">
        <f>COUNTIF(E78:E95, "&gt;=100%")</f>
        <v>5</v>
      </c>
    </row>
  </sheetData>
  <mergeCells count="12">
    <mergeCell ref="A34:H34"/>
    <mergeCell ref="A52:H52"/>
    <mergeCell ref="A64:H64"/>
    <mergeCell ref="A75:H75"/>
    <mergeCell ref="A98:H98"/>
    <mergeCell ref="A1:H1"/>
    <mergeCell ref="A3:B3"/>
    <mergeCell ref="E3:H3"/>
    <mergeCell ref="A12:C12"/>
    <mergeCell ref="E12:H12"/>
    <mergeCell ref="A23:D23"/>
    <mergeCell ref="E23:H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43C1-9C9D-4D15-994C-3C44C770C759}">
  <dimension ref="A1:L55"/>
  <sheetViews>
    <sheetView workbookViewId="0"/>
  </sheetViews>
  <sheetFormatPr defaultRowHeight="15"/>
  <cols>
    <col min="1" max="1" width="50" bestFit="1" customWidth="1"/>
    <col min="2" max="2" width="12.140625" bestFit="1" customWidth="1"/>
    <col min="3" max="3" width="15.28515625" bestFit="1" customWidth="1"/>
    <col min="4" max="4" width="16.42578125" bestFit="1" customWidth="1"/>
    <col min="5" max="5" width="11.42578125" bestFit="1" customWidth="1"/>
    <col min="6" max="6" width="25.5703125" bestFit="1" customWidth="1"/>
    <col min="7" max="7" width="8.7109375" bestFit="1" customWidth="1"/>
    <col min="8" max="8" width="20.7109375" bestFit="1" customWidth="1"/>
    <col min="9" max="9" width="8.85546875" bestFit="1" customWidth="1"/>
    <col min="10" max="10" width="8.28515625" bestFit="1" customWidth="1"/>
    <col min="11" max="11" width="12.140625" bestFit="1" customWidth="1"/>
    <col min="12" max="12" width="11.5703125" bestFit="1" customWidth="1"/>
  </cols>
  <sheetData>
    <row r="1" spans="1:12" ht="21">
      <c r="A1" s="347" t="s">
        <v>1403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</row>
    <row r="3" spans="1:12">
      <c r="A3" s="124" t="s">
        <v>1404</v>
      </c>
      <c r="F3" s="126" t="s">
        <v>1405</v>
      </c>
    </row>
    <row r="4" spans="1:12">
      <c r="A4" s="125" t="s">
        <v>591</v>
      </c>
      <c r="B4" s="125" t="s">
        <v>592</v>
      </c>
      <c r="C4" s="125" t="s">
        <v>593</v>
      </c>
      <c r="D4" s="125" t="s">
        <v>504</v>
      </c>
      <c r="F4" s="1" t="s">
        <v>718</v>
      </c>
      <c r="G4" s="1" t="s">
        <v>592</v>
      </c>
      <c r="H4" s="1" t="s">
        <v>703</v>
      </c>
    </row>
    <row r="5" spans="1:12">
      <c r="A5" t="s">
        <v>1406</v>
      </c>
      <c r="B5" t="s">
        <v>1407</v>
      </c>
      <c r="C5" t="s">
        <v>1408</v>
      </c>
      <c r="D5" t="s">
        <v>1409</v>
      </c>
      <c r="F5" t="s">
        <v>48</v>
      </c>
      <c r="G5">
        <f>'DNA Loop Engine'!B5</f>
        <v>50</v>
      </c>
      <c r="H5" t="s">
        <v>1410</v>
      </c>
    </row>
    <row r="6" spans="1:12">
      <c r="A6" t="s">
        <v>1411</v>
      </c>
      <c r="B6">
        <v>50</v>
      </c>
      <c r="C6" t="s">
        <v>1139</v>
      </c>
      <c r="D6" t="s">
        <v>1412</v>
      </c>
      <c r="F6" t="s">
        <v>1413</v>
      </c>
      <c r="G6">
        <f>MAX(0,G5-40)</f>
        <v>10</v>
      </c>
      <c r="H6" t="s">
        <v>1414</v>
      </c>
    </row>
    <row r="7" spans="1:12">
      <c r="A7" t="s">
        <v>1415</v>
      </c>
      <c r="B7">
        <v>75</v>
      </c>
      <c r="C7" t="s">
        <v>1139</v>
      </c>
      <c r="D7" t="s">
        <v>1416</v>
      </c>
      <c r="F7" t="s">
        <v>1417</v>
      </c>
      <c r="G7">
        <f>IF(G6&gt;0,ROUND(G6/4.33,1),"Pre-Birth")</f>
        <v>2.2999999999999998</v>
      </c>
      <c r="H7" t="s">
        <v>1418</v>
      </c>
    </row>
    <row r="8" spans="1:12">
      <c r="A8" t="s">
        <v>1419</v>
      </c>
      <c r="B8">
        <v>3.5</v>
      </c>
      <c r="C8" t="s">
        <v>1142</v>
      </c>
      <c r="D8" t="s">
        <v>1420</v>
      </c>
    </row>
    <row r="9" spans="1:12">
      <c r="A9" t="s">
        <v>1421</v>
      </c>
      <c r="B9">
        <v>10</v>
      </c>
      <c r="C9" t="s">
        <v>1142</v>
      </c>
      <c r="D9" t="s">
        <v>1422</v>
      </c>
    </row>
    <row r="10" spans="1:12">
      <c r="A10" t="s">
        <v>1423</v>
      </c>
      <c r="B10" t="s">
        <v>1424</v>
      </c>
      <c r="C10" t="s">
        <v>1139</v>
      </c>
      <c r="D10" t="s">
        <v>1425</v>
      </c>
    </row>
    <row r="11" spans="1:12">
      <c r="A11" t="s">
        <v>1426</v>
      </c>
      <c r="B11" t="s">
        <v>608</v>
      </c>
      <c r="D11" t="s">
        <v>1427</v>
      </c>
    </row>
    <row r="12" spans="1:12">
      <c r="A12" t="s">
        <v>1428</v>
      </c>
      <c r="B12">
        <v>0</v>
      </c>
      <c r="C12" t="s">
        <v>596</v>
      </c>
      <c r="D12" t="s">
        <v>1429</v>
      </c>
    </row>
    <row r="13" spans="1:12">
      <c r="A13" t="s">
        <v>1430</v>
      </c>
      <c r="B13">
        <v>0</v>
      </c>
      <c r="C13" t="s">
        <v>596</v>
      </c>
      <c r="D13" t="s">
        <v>1431</v>
      </c>
    </row>
    <row r="14" spans="1:12">
      <c r="A14" t="s">
        <v>1432</v>
      </c>
      <c r="B14">
        <v>0</v>
      </c>
      <c r="C14" t="s">
        <v>596</v>
      </c>
      <c r="D14" t="s">
        <v>1433</v>
      </c>
    </row>
    <row r="16" spans="1:12">
      <c r="A16" s="127" t="s">
        <v>1434</v>
      </c>
    </row>
    <row r="17" spans="1:12">
      <c r="A17" s="128" t="s">
        <v>41</v>
      </c>
      <c r="B17" s="128" t="s">
        <v>42</v>
      </c>
      <c r="C17" s="128" t="s">
        <v>43</v>
      </c>
      <c r="D17" s="128" t="s">
        <v>47</v>
      </c>
      <c r="E17" s="128" t="s">
        <v>50</v>
      </c>
      <c r="F17" s="128" t="s">
        <v>51</v>
      </c>
      <c r="G17" s="128" t="s">
        <v>52</v>
      </c>
      <c r="H17" s="128" t="s">
        <v>53</v>
      </c>
      <c r="I17" s="128" t="s">
        <v>969</v>
      </c>
      <c r="J17" s="128" t="s">
        <v>1435</v>
      </c>
      <c r="K17" s="128" t="s">
        <v>1436</v>
      </c>
      <c r="L17" s="128" t="s">
        <v>562</v>
      </c>
    </row>
    <row r="18" spans="1:12">
      <c r="A18" s="129" t="s">
        <v>1437</v>
      </c>
      <c r="B18" s="129" t="s">
        <v>62</v>
      </c>
      <c r="C18" s="129" t="s">
        <v>1438</v>
      </c>
      <c r="D18" s="129" t="s">
        <v>65</v>
      </c>
      <c r="E18" s="129" t="s">
        <v>66</v>
      </c>
      <c r="F18" s="129">
        <v>0</v>
      </c>
      <c r="G18" s="129">
        <v>0.25</v>
      </c>
      <c r="H18" s="129">
        <v>0</v>
      </c>
      <c r="I18" s="129">
        <v>12</v>
      </c>
      <c r="J18" s="129">
        <v>350</v>
      </c>
      <c r="K18" s="129" t="s">
        <v>1439</v>
      </c>
      <c r="L18" s="129" t="s">
        <v>1440</v>
      </c>
    </row>
    <row r="19" spans="1:12">
      <c r="A19" s="129" t="s">
        <v>1441</v>
      </c>
      <c r="B19" s="129" t="s">
        <v>62</v>
      </c>
      <c r="C19" s="129" t="s">
        <v>1442</v>
      </c>
      <c r="D19" s="129" t="s">
        <v>65</v>
      </c>
      <c r="E19" s="129" t="s">
        <v>861</v>
      </c>
      <c r="F19" s="129">
        <v>0</v>
      </c>
      <c r="G19" s="129">
        <v>0.28000000000000003</v>
      </c>
      <c r="H19" s="129">
        <v>0.03</v>
      </c>
      <c r="I19" s="129">
        <v>4</v>
      </c>
      <c r="J19" s="129">
        <v>25</v>
      </c>
      <c r="K19" s="129" t="s">
        <v>1439</v>
      </c>
      <c r="L19" s="129" t="s">
        <v>1440</v>
      </c>
    </row>
    <row r="20" spans="1:12">
      <c r="A20" s="129" t="s">
        <v>1443</v>
      </c>
      <c r="B20" s="129" t="s">
        <v>62</v>
      </c>
      <c r="C20" s="129" t="s">
        <v>1444</v>
      </c>
      <c r="D20" s="129" t="s">
        <v>65</v>
      </c>
      <c r="E20" s="129" t="s">
        <v>861</v>
      </c>
      <c r="F20" s="129">
        <v>0.04</v>
      </c>
      <c r="G20" s="129">
        <v>0.28999999999999998</v>
      </c>
      <c r="H20" s="129">
        <v>0</v>
      </c>
      <c r="I20" s="129">
        <v>5</v>
      </c>
      <c r="J20" s="129">
        <v>30</v>
      </c>
      <c r="K20" s="129" t="s">
        <v>1439</v>
      </c>
      <c r="L20" s="129" t="s">
        <v>1440</v>
      </c>
    </row>
    <row r="21" spans="1:12">
      <c r="A21" s="129" t="s">
        <v>1445</v>
      </c>
      <c r="B21" s="129" t="s">
        <v>62</v>
      </c>
      <c r="C21" s="129" t="s">
        <v>1446</v>
      </c>
      <c r="D21" s="129" t="s">
        <v>65</v>
      </c>
      <c r="E21" s="129" t="s">
        <v>66</v>
      </c>
      <c r="F21" s="129">
        <v>0</v>
      </c>
      <c r="G21" s="129">
        <v>0.12</v>
      </c>
      <c r="H21" s="129">
        <v>-0.02</v>
      </c>
      <c r="I21" s="129">
        <v>20</v>
      </c>
      <c r="J21" s="129">
        <v>80</v>
      </c>
      <c r="K21" s="129" t="s">
        <v>1447</v>
      </c>
      <c r="L21" s="129" t="s">
        <v>1440</v>
      </c>
    </row>
    <row r="22" spans="1:12">
      <c r="A22" s="129" t="s">
        <v>1448</v>
      </c>
      <c r="B22" s="129" t="s">
        <v>62</v>
      </c>
      <c r="C22" s="129" t="s">
        <v>1449</v>
      </c>
      <c r="D22" s="129" t="s">
        <v>65</v>
      </c>
      <c r="E22" s="129" t="s">
        <v>1450</v>
      </c>
      <c r="F22" s="129">
        <v>0.05</v>
      </c>
      <c r="G22" s="129">
        <v>0.15</v>
      </c>
      <c r="H22" s="129">
        <v>0.02</v>
      </c>
      <c r="I22" s="129">
        <v>8</v>
      </c>
      <c r="J22" s="129">
        <v>60</v>
      </c>
      <c r="K22" s="129" t="s">
        <v>1447</v>
      </c>
      <c r="L22" s="129" t="s">
        <v>1440</v>
      </c>
    </row>
    <row r="23" spans="1:12">
      <c r="A23" s="129" t="s">
        <v>1451</v>
      </c>
      <c r="B23" s="129" t="s">
        <v>62</v>
      </c>
      <c r="C23" s="129" t="s">
        <v>1452</v>
      </c>
      <c r="D23" s="129" t="s">
        <v>65</v>
      </c>
      <c r="E23" s="129" t="s">
        <v>66</v>
      </c>
      <c r="F23" s="129">
        <v>0</v>
      </c>
      <c r="G23" s="129">
        <v>0</v>
      </c>
      <c r="H23" s="129">
        <v>0</v>
      </c>
      <c r="I23" s="129">
        <v>6</v>
      </c>
      <c r="J23" s="129">
        <v>40</v>
      </c>
      <c r="K23" s="129" t="s">
        <v>1447</v>
      </c>
      <c r="L23" s="129" t="s">
        <v>1440</v>
      </c>
    </row>
    <row r="24" spans="1:12">
      <c r="A24" s="129" t="s">
        <v>1453</v>
      </c>
      <c r="B24" s="129" t="s">
        <v>62</v>
      </c>
      <c r="C24" s="129" t="s">
        <v>1454</v>
      </c>
      <c r="D24" s="129" t="s">
        <v>65</v>
      </c>
      <c r="E24" s="129" t="s">
        <v>1455</v>
      </c>
      <c r="F24" s="129">
        <v>0.03</v>
      </c>
      <c r="G24" s="129">
        <v>-0.08</v>
      </c>
      <c r="H24" s="129">
        <v>0</v>
      </c>
      <c r="I24" s="129">
        <v>9</v>
      </c>
      <c r="J24" s="129">
        <v>35</v>
      </c>
      <c r="K24" s="129" t="s">
        <v>1439</v>
      </c>
      <c r="L24" s="129" t="s">
        <v>1440</v>
      </c>
    </row>
    <row r="25" spans="1:12">
      <c r="A25" s="129" t="s">
        <v>1456</v>
      </c>
      <c r="B25" s="129" t="s">
        <v>62</v>
      </c>
      <c r="C25" s="129" t="s">
        <v>1457</v>
      </c>
      <c r="D25" s="129" t="s">
        <v>65</v>
      </c>
      <c r="E25" s="129" t="s">
        <v>1458</v>
      </c>
      <c r="F25" s="129">
        <v>0.03</v>
      </c>
      <c r="G25" s="129">
        <v>-0.16</v>
      </c>
      <c r="H25" s="129">
        <v>0</v>
      </c>
      <c r="I25" s="129">
        <v>8</v>
      </c>
      <c r="J25" s="129">
        <v>25</v>
      </c>
      <c r="K25" s="129" t="s">
        <v>1439</v>
      </c>
      <c r="L25" s="129" t="s">
        <v>1440</v>
      </c>
    </row>
    <row r="26" spans="1:12">
      <c r="A26" s="129" t="s">
        <v>1459</v>
      </c>
      <c r="B26" s="129" t="s">
        <v>62</v>
      </c>
      <c r="C26" s="129" t="s">
        <v>1460</v>
      </c>
      <c r="D26" s="129" t="s">
        <v>65</v>
      </c>
      <c r="E26" s="129" t="s">
        <v>1461</v>
      </c>
      <c r="F26" s="129">
        <v>0.08</v>
      </c>
      <c r="G26" s="129">
        <v>0.18</v>
      </c>
      <c r="H26" s="129">
        <v>0</v>
      </c>
      <c r="I26" s="129">
        <v>7</v>
      </c>
      <c r="J26" s="129">
        <v>20</v>
      </c>
      <c r="K26" s="129" t="s">
        <v>1439</v>
      </c>
      <c r="L26" s="129" t="s">
        <v>1440</v>
      </c>
    </row>
    <row r="27" spans="1:12">
      <c r="A27" s="129" t="s">
        <v>1462</v>
      </c>
      <c r="B27" s="129" t="s">
        <v>62</v>
      </c>
      <c r="C27" s="129" t="s">
        <v>1463</v>
      </c>
      <c r="D27" s="129" t="s">
        <v>65</v>
      </c>
      <c r="E27" s="129" t="s">
        <v>1464</v>
      </c>
      <c r="F27" s="129">
        <v>0.1</v>
      </c>
      <c r="G27" s="129">
        <v>0.12</v>
      </c>
      <c r="H27" s="129">
        <v>0</v>
      </c>
      <c r="I27" s="129">
        <v>6</v>
      </c>
      <c r="J27" s="129">
        <v>15</v>
      </c>
      <c r="K27" s="129" t="s">
        <v>1439</v>
      </c>
      <c r="L27" s="129" t="s">
        <v>1440</v>
      </c>
    </row>
    <row r="28" spans="1:12">
      <c r="A28" s="129" t="s">
        <v>1465</v>
      </c>
      <c r="B28" s="129" t="s">
        <v>62</v>
      </c>
      <c r="C28" s="129" t="s">
        <v>1466</v>
      </c>
      <c r="D28" s="129" t="s">
        <v>65</v>
      </c>
      <c r="E28" s="129" t="s">
        <v>1467</v>
      </c>
      <c r="F28" s="129">
        <v>0.12</v>
      </c>
      <c r="G28" s="129">
        <v>0.08</v>
      </c>
      <c r="H28" s="129">
        <v>0</v>
      </c>
      <c r="I28" s="129">
        <v>4</v>
      </c>
      <c r="J28" s="129">
        <v>10</v>
      </c>
      <c r="K28" s="129" t="s">
        <v>1447</v>
      </c>
      <c r="L28" s="129" t="s">
        <v>1440</v>
      </c>
    </row>
    <row r="29" spans="1:12">
      <c r="A29" s="129" t="s">
        <v>1468</v>
      </c>
      <c r="B29" s="129" t="s">
        <v>62</v>
      </c>
      <c r="C29" s="129" t="s">
        <v>1469</v>
      </c>
      <c r="D29" s="129" t="s">
        <v>65</v>
      </c>
      <c r="E29" s="129" t="s">
        <v>1470</v>
      </c>
      <c r="F29" s="129">
        <v>0.03</v>
      </c>
      <c r="G29" s="129">
        <v>-0.22</v>
      </c>
      <c r="H29" s="129">
        <v>0.02</v>
      </c>
      <c r="I29" s="129">
        <v>5</v>
      </c>
      <c r="J29" s="129">
        <v>15</v>
      </c>
      <c r="K29" s="129" t="s">
        <v>1447</v>
      </c>
      <c r="L29" s="129" t="s">
        <v>1440</v>
      </c>
    </row>
    <row r="30" spans="1:12">
      <c r="A30" s="130" t="s">
        <v>802</v>
      </c>
      <c r="B30" s="130" t="s">
        <v>223</v>
      </c>
      <c r="C30" s="130" t="s">
        <v>1471</v>
      </c>
      <c r="D30" s="130" t="s">
        <v>256</v>
      </c>
      <c r="E30" s="130" t="s">
        <v>861</v>
      </c>
      <c r="F30" s="130">
        <v>0</v>
      </c>
      <c r="G30" s="130">
        <v>0.27</v>
      </c>
      <c r="H30" s="130">
        <v>0</v>
      </c>
      <c r="I30" s="130">
        <v>12</v>
      </c>
      <c r="J30" s="130">
        <v>400</v>
      </c>
      <c r="K30" s="130" t="s">
        <v>1472</v>
      </c>
      <c r="L30" s="130" t="s">
        <v>1440</v>
      </c>
    </row>
    <row r="31" spans="1:12">
      <c r="A31" s="130" t="s">
        <v>222</v>
      </c>
      <c r="B31" s="130" t="s">
        <v>223</v>
      </c>
      <c r="C31" s="130" t="s">
        <v>1473</v>
      </c>
      <c r="D31" s="130" t="s">
        <v>65</v>
      </c>
      <c r="E31" s="130" t="s">
        <v>146</v>
      </c>
      <c r="F31" s="130">
        <v>0</v>
      </c>
      <c r="G31" s="130">
        <v>0.16</v>
      </c>
      <c r="H31" s="130">
        <v>0.02</v>
      </c>
      <c r="I31" s="130">
        <v>4</v>
      </c>
      <c r="J31" s="130">
        <v>25</v>
      </c>
      <c r="K31" s="130" t="s">
        <v>1447</v>
      </c>
      <c r="L31" s="130" t="s">
        <v>1440</v>
      </c>
    </row>
    <row r="32" spans="1:12">
      <c r="A32" s="130" t="s">
        <v>225</v>
      </c>
      <c r="B32" s="130" t="s">
        <v>223</v>
      </c>
      <c r="C32" s="130" t="s">
        <v>1474</v>
      </c>
      <c r="D32" s="130" t="s">
        <v>65</v>
      </c>
      <c r="E32" s="130" t="s">
        <v>1475</v>
      </c>
      <c r="F32" s="130">
        <v>0.04</v>
      </c>
      <c r="G32" s="130">
        <v>0.16</v>
      </c>
      <c r="H32" s="130">
        <v>0</v>
      </c>
      <c r="I32" s="130">
        <v>6</v>
      </c>
      <c r="J32" s="130">
        <v>60</v>
      </c>
      <c r="K32" s="130" t="s">
        <v>1447</v>
      </c>
      <c r="L32" s="130" t="s">
        <v>1440</v>
      </c>
    </row>
    <row r="33" spans="1:12">
      <c r="A33" s="130" t="s">
        <v>227</v>
      </c>
      <c r="B33" s="130" t="s">
        <v>223</v>
      </c>
      <c r="C33" s="130" t="s">
        <v>1476</v>
      </c>
      <c r="D33" s="130" t="s">
        <v>65</v>
      </c>
      <c r="E33" s="130" t="s">
        <v>1475</v>
      </c>
      <c r="F33" s="130">
        <v>0.03</v>
      </c>
      <c r="G33" s="130">
        <v>0.1</v>
      </c>
      <c r="H33" s="130">
        <v>0.02</v>
      </c>
      <c r="I33" s="130">
        <v>6</v>
      </c>
      <c r="J33" s="130">
        <v>150</v>
      </c>
      <c r="K33" s="130" t="s">
        <v>1447</v>
      </c>
      <c r="L33" s="130" t="s">
        <v>1440</v>
      </c>
    </row>
    <row r="34" spans="1:12">
      <c r="A34" s="130" t="s">
        <v>230</v>
      </c>
      <c r="B34" s="130" t="s">
        <v>223</v>
      </c>
      <c r="C34" s="130" t="s">
        <v>1477</v>
      </c>
      <c r="D34" s="130" t="s">
        <v>65</v>
      </c>
      <c r="E34" s="130" t="s">
        <v>227</v>
      </c>
      <c r="F34" s="130">
        <v>-0.02</v>
      </c>
      <c r="G34" s="130">
        <v>0.09</v>
      </c>
      <c r="H34" s="130">
        <v>0.03</v>
      </c>
      <c r="I34" s="130">
        <v>3</v>
      </c>
      <c r="J34" s="130">
        <v>20</v>
      </c>
      <c r="K34" s="130" t="s">
        <v>1447</v>
      </c>
      <c r="L34" s="130" t="s">
        <v>1440</v>
      </c>
    </row>
    <row r="35" spans="1:12">
      <c r="A35" s="130" t="s">
        <v>806</v>
      </c>
      <c r="B35" s="130" t="s">
        <v>223</v>
      </c>
      <c r="C35" s="130" t="s">
        <v>1478</v>
      </c>
      <c r="D35" s="130" t="s">
        <v>65</v>
      </c>
      <c r="E35" s="130" t="s">
        <v>230</v>
      </c>
      <c r="F35" s="130">
        <v>0</v>
      </c>
      <c r="G35" s="130">
        <v>0.05</v>
      </c>
      <c r="H35" s="130">
        <v>0.02</v>
      </c>
      <c r="I35" s="130">
        <v>150</v>
      </c>
      <c r="J35" s="130">
        <v>100</v>
      </c>
      <c r="K35" s="130" t="s">
        <v>1447</v>
      </c>
      <c r="L35" s="130" t="s">
        <v>1440</v>
      </c>
    </row>
    <row r="36" spans="1:12">
      <c r="A36" s="130" t="s">
        <v>241</v>
      </c>
      <c r="B36" s="130" t="s">
        <v>223</v>
      </c>
      <c r="C36" s="130" t="s">
        <v>1479</v>
      </c>
      <c r="D36" s="130" t="s">
        <v>65</v>
      </c>
      <c r="E36" s="130" t="s">
        <v>1450</v>
      </c>
      <c r="F36" s="130">
        <v>0.04</v>
      </c>
      <c r="G36" s="130">
        <v>0.06</v>
      </c>
      <c r="H36" s="130">
        <v>-0.02</v>
      </c>
      <c r="I36" s="130">
        <v>4</v>
      </c>
      <c r="J36" s="130">
        <v>25</v>
      </c>
      <c r="K36" s="130" t="s">
        <v>1447</v>
      </c>
      <c r="L36" s="130" t="s">
        <v>1440</v>
      </c>
    </row>
    <row r="37" spans="1:12">
      <c r="A37" s="130" t="s">
        <v>296</v>
      </c>
      <c r="B37" s="130" t="s">
        <v>223</v>
      </c>
      <c r="C37" s="130" t="s">
        <v>1480</v>
      </c>
      <c r="D37" s="130" t="s">
        <v>298</v>
      </c>
      <c r="E37" s="130" t="s">
        <v>861</v>
      </c>
      <c r="F37" s="130">
        <v>0.02</v>
      </c>
      <c r="G37" s="130">
        <v>0.26</v>
      </c>
      <c r="H37" s="130">
        <v>0.05</v>
      </c>
      <c r="I37" s="130">
        <v>1.8</v>
      </c>
      <c r="J37" s="130">
        <v>3</v>
      </c>
      <c r="K37" s="130" t="s">
        <v>1481</v>
      </c>
      <c r="L37" s="130" t="s">
        <v>1440</v>
      </c>
    </row>
    <row r="38" spans="1:12">
      <c r="A38" s="130" t="s">
        <v>300</v>
      </c>
      <c r="B38" s="130" t="s">
        <v>223</v>
      </c>
      <c r="C38" s="130" t="s">
        <v>1482</v>
      </c>
      <c r="D38" s="130" t="s">
        <v>298</v>
      </c>
      <c r="E38" s="130" t="s">
        <v>861</v>
      </c>
      <c r="F38" s="130">
        <v>0.05</v>
      </c>
      <c r="G38" s="130">
        <v>0.25</v>
      </c>
      <c r="H38" s="130">
        <v>-0.01</v>
      </c>
      <c r="I38" s="130">
        <v>2.5</v>
      </c>
      <c r="J38" s="130">
        <v>2</v>
      </c>
      <c r="K38" s="130" t="s">
        <v>1481</v>
      </c>
      <c r="L38" s="130" t="s">
        <v>1440</v>
      </c>
    </row>
    <row r="39" spans="1:12">
      <c r="A39" s="131" t="s">
        <v>1483</v>
      </c>
      <c r="B39" s="131" t="s">
        <v>309</v>
      </c>
      <c r="C39" s="131" t="s">
        <v>1484</v>
      </c>
      <c r="D39" s="131" t="s">
        <v>292</v>
      </c>
      <c r="E39" s="131" t="s">
        <v>1450</v>
      </c>
      <c r="F39" s="131">
        <v>0</v>
      </c>
      <c r="G39" s="131">
        <v>0.08</v>
      </c>
      <c r="H39" s="131">
        <v>0.02</v>
      </c>
      <c r="I39" s="131">
        <v>8</v>
      </c>
      <c r="J39" s="131">
        <v>80</v>
      </c>
      <c r="K39" s="131" t="s">
        <v>1439</v>
      </c>
      <c r="L39" s="131" t="s">
        <v>1440</v>
      </c>
    </row>
    <row r="40" spans="1:12">
      <c r="A40" s="131" t="s">
        <v>1485</v>
      </c>
      <c r="B40" s="131" t="s">
        <v>309</v>
      </c>
      <c r="C40" s="131" t="s">
        <v>1486</v>
      </c>
      <c r="D40" s="131" t="s">
        <v>292</v>
      </c>
      <c r="E40" s="131" t="s">
        <v>1455</v>
      </c>
      <c r="F40" s="131">
        <v>0.03</v>
      </c>
      <c r="G40" s="131">
        <v>-0.1</v>
      </c>
      <c r="H40" s="131">
        <v>0</v>
      </c>
      <c r="I40" s="131">
        <v>12</v>
      </c>
      <c r="J40" s="131">
        <v>100</v>
      </c>
      <c r="K40" s="131" t="s">
        <v>1439</v>
      </c>
      <c r="L40" s="131" t="s">
        <v>1440</v>
      </c>
    </row>
    <row r="41" spans="1:12">
      <c r="A41" s="131" t="s">
        <v>1487</v>
      </c>
      <c r="B41" s="131" t="s">
        <v>309</v>
      </c>
      <c r="C41" s="131" t="s">
        <v>1488</v>
      </c>
      <c r="D41" s="131" t="s">
        <v>292</v>
      </c>
      <c r="E41" s="131" t="s">
        <v>1461</v>
      </c>
      <c r="F41" s="131">
        <v>0.09</v>
      </c>
      <c r="G41" s="131">
        <v>0.14000000000000001</v>
      </c>
      <c r="H41" s="131">
        <v>0</v>
      </c>
      <c r="I41" s="131">
        <v>8</v>
      </c>
      <c r="J41" s="131">
        <v>50</v>
      </c>
      <c r="K41" s="131" t="s">
        <v>1439</v>
      </c>
      <c r="L41" s="131" t="s">
        <v>1440</v>
      </c>
    </row>
    <row r="42" spans="1:12">
      <c r="A42" s="131" t="s">
        <v>1489</v>
      </c>
      <c r="B42" s="131" t="s">
        <v>309</v>
      </c>
      <c r="C42" s="131" t="s">
        <v>1490</v>
      </c>
      <c r="D42" s="131" t="s">
        <v>292</v>
      </c>
      <c r="E42" s="131" t="s">
        <v>1450</v>
      </c>
      <c r="F42" s="131">
        <v>0</v>
      </c>
      <c r="G42" s="131">
        <v>0.22</v>
      </c>
      <c r="H42" s="131">
        <v>0</v>
      </c>
      <c r="I42" s="131">
        <v>4</v>
      </c>
      <c r="J42" s="131">
        <v>30</v>
      </c>
      <c r="K42" s="131" t="s">
        <v>1439</v>
      </c>
      <c r="L42" s="131" t="s">
        <v>1440</v>
      </c>
    </row>
    <row r="43" spans="1:12">
      <c r="A43" s="131" t="s">
        <v>490</v>
      </c>
      <c r="B43" s="131" t="s">
        <v>309</v>
      </c>
      <c r="C43" s="131" t="s">
        <v>1491</v>
      </c>
      <c r="D43" s="131" t="s">
        <v>292</v>
      </c>
      <c r="E43" s="131" t="s">
        <v>861</v>
      </c>
      <c r="F43" s="131">
        <v>0</v>
      </c>
      <c r="G43" s="131">
        <v>0.25</v>
      </c>
      <c r="H43" s="131">
        <v>0.04</v>
      </c>
      <c r="I43" s="131">
        <v>3</v>
      </c>
      <c r="J43" s="131">
        <v>15</v>
      </c>
      <c r="K43" s="131" t="s">
        <v>1447</v>
      </c>
      <c r="L43" s="131" t="s">
        <v>1440</v>
      </c>
    </row>
    <row r="44" spans="1:12">
      <c r="A44" s="132" t="s">
        <v>1492</v>
      </c>
      <c r="B44" s="132" t="s">
        <v>1493</v>
      </c>
      <c r="C44" s="132" t="s">
        <v>1494</v>
      </c>
      <c r="D44" s="132" t="s">
        <v>65</v>
      </c>
      <c r="E44" s="132" t="s">
        <v>861</v>
      </c>
      <c r="F44" s="132">
        <v>0</v>
      </c>
      <c r="G44" s="132">
        <v>0.3</v>
      </c>
      <c r="H44" s="132">
        <v>0.02</v>
      </c>
      <c r="I44" s="132">
        <v>3</v>
      </c>
      <c r="J44" s="132">
        <v>0</v>
      </c>
      <c r="K44" s="132" t="s">
        <v>1495</v>
      </c>
      <c r="L44" s="132" t="s">
        <v>1496</v>
      </c>
    </row>
    <row r="45" spans="1:12">
      <c r="A45" s="132" t="s">
        <v>1497</v>
      </c>
      <c r="B45" s="132" t="s">
        <v>1493</v>
      </c>
      <c r="C45" s="132" t="s">
        <v>1498</v>
      </c>
      <c r="D45" s="132" t="s">
        <v>65</v>
      </c>
      <c r="E45" s="132" t="s">
        <v>861</v>
      </c>
      <c r="F45" s="132">
        <v>0</v>
      </c>
      <c r="G45" s="132">
        <v>0.28000000000000003</v>
      </c>
      <c r="H45" s="132">
        <v>-0.03</v>
      </c>
      <c r="I45" s="132">
        <v>1</v>
      </c>
      <c r="J45" s="132">
        <v>0</v>
      </c>
      <c r="K45" s="132" t="s">
        <v>1495</v>
      </c>
      <c r="L45" s="132" t="s">
        <v>1496</v>
      </c>
    </row>
    <row r="46" spans="1:12">
      <c r="A46" s="132" t="s">
        <v>1499</v>
      </c>
      <c r="B46" s="132" t="s">
        <v>1493</v>
      </c>
      <c r="C46" s="132" t="s">
        <v>1500</v>
      </c>
      <c r="D46" s="132" t="s">
        <v>65</v>
      </c>
      <c r="E46" s="132" t="s">
        <v>1501</v>
      </c>
      <c r="F46" s="132">
        <v>0</v>
      </c>
      <c r="G46" s="132">
        <v>0.04</v>
      </c>
      <c r="H46" s="132">
        <v>0.04</v>
      </c>
      <c r="I46" s="132">
        <v>1</v>
      </c>
      <c r="J46" s="132">
        <v>0</v>
      </c>
      <c r="K46" s="132" t="s">
        <v>1502</v>
      </c>
      <c r="L46" s="132" t="s">
        <v>1503</v>
      </c>
    </row>
    <row r="47" spans="1:12">
      <c r="A47" s="130" t="s">
        <v>1504</v>
      </c>
      <c r="B47" s="130" t="s">
        <v>223</v>
      </c>
      <c r="C47" s="130" t="s">
        <v>1505</v>
      </c>
      <c r="D47" s="130" t="s">
        <v>1506</v>
      </c>
      <c r="E47" s="130" t="s">
        <v>146</v>
      </c>
      <c r="F47" s="130">
        <v>0</v>
      </c>
      <c r="G47" s="130">
        <v>0.17</v>
      </c>
      <c r="H47" s="130">
        <v>0.01</v>
      </c>
      <c r="I47" s="130">
        <v>5</v>
      </c>
      <c r="J47" s="130">
        <v>15</v>
      </c>
      <c r="K47" s="130" t="s">
        <v>1507</v>
      </c>
      <c r="L47" s="130" t="s">
        <v>1508</v>
      </c>
    </row>
    <row r="49" spans="1:4">
      <c r="A49" s="133" t="s">
        <v>1509</v>
      </c>
    </row>
    <row r="50" spans="1:4">
      <c r="A50" s="1" t="s">
        <v>42</v>
      </c>
      <c r="B50" s="1" t="s">
        <v>1146</v>
      </c>
      <c r="C50" s="1" t="s">
        <v>1510</v>
      </c>
      <c r="D50" s="1" t="s">
        <v>562</v>
      </c>
    </row>
    <row r="51" spans="1:4">
      <c r="A51" t="s">
        <v>62</v>
      </c>
      <c r="B51">
        <f>COUNTIF(B18:B47,"Skeleton")</f>
        <v>12</v>
      </c>
      <c r="C51">
        <f>SUMIF(B18:B47,"Skeleton",J18:J47)</f>
        <v>705</v>
      </c>
      <c r="D51" t="s">
        <v>1440</v>
      </c>
    </row>
    <row r="52" spans="1:4">
      <c r="A52" t="s">
        <v>1511</v>
      </c>
      <c r="B52">
        <f>COUNTIF(B18:B47,"Organ")</f>
        <v>10</v>
      </c>
      <c r="C52">
        <f>SUMIF(B18:B47,"Organ",J18:J47)</f>
        <v>800</v>
      </c>
      <c r="D52" t="s">
        <v>1440</v>
      </c>
    </row>
    <row r="53" spans="1:4">
      <c r="A53" t="s">
        <v>1512</v>
      </c>
      <c r="B53">
        <f>COUNTIF(B18:B47,"Muscle")</f>
        <v>5</v>
      </c>
      <c r="C53">
        <f>SUMIF(B18:B47,"Muscle",J18:J47)</f>
        <v>275</v>
      </c>
      <c r="D53" t="s">
        <v>1440</v>
      </c>
    </row>
    <row r="54" spans="1:4">
      <c r="A54" t="s">
        <v>1493</v>
      </c>
      <c r="B54">
        <f>COUNTIF(B18:B47,"Special")</f>
        <v>3</v>
      </c>
      <c r="C54">
        <f>SUMIF(B18:B47,"Special",J18:J47)</f>
        <v>0</v>
      </c>
      <c r="D54" t="s">
        <v>1513</v>
      </c>
    </row>
    <row r="55" spans="1:4">
      <c r="A55" s="1" t="s">
        <v>1148</v>
      </c>
      <c r="B55">
        <f>SUM(B51:B54)</f>
        <v>30</v>
      </c>
      <c r="C55">
        <f>SUM(C51:C54)</f>
        <v>1780</v>
      </c>
    </row>
  </sheetData>
  <mergeCells count="1">
    <mergeCell ref="A1:L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64F0-AA98-4BB9-88CB-E56023B8784A}">
  <dimension ref="A1:K65"/>
  <sheetViews>
    <sheetView workbookViewId="0"/>
  </sheetViews>
  <sheetFormatPr defaultRowHeight="15"/>
  <cols>
    <col min="1" max="1" width="99.42578125" bestFit="1" customWidth="1"/>
    <col min="2" max="2" width="16" bestFit="1" customWidth="1"/>
    <col min="3" max="3" width="26.28515625" bestFit="1" customWidth="1"/>
    <col min="4" max="4" width="19.5703125" bestFit="1" customWidth="1"/>
    <col min="5" max="5" width="40.140625" bestFit="1" customWidth="1"/>
    <col min="6" max="6" width="22.85546875" bestFit="1" customWidth="1"/>
    <col min="7" max="7" width="24.85546875" bestFit="1" customWidth="1"/>
    <col min="8" max="8" width="13.42578125" bestFit="1" customWidth="1"/>
    <col min="9" max="9" width="13.28515625" bestFit="1" customWidth="1"/>
    <col min="10" max="10" width="12" bestFit="1" customWidth="1"/>
    <col min="11" max="11" width="10.7109375" bestFit="1" customWidth="1"/>
  </cols>
  <sheetData>
    <row r="1" spans="1:11" ht="21">
      <c r="A1" s="134" t="s">
        <v>1514</v>
      </c>
    </row>
    <row r="3" spans="1:11">
      <c r="A3" s="135" t="s">
        <v>1515</v>
      </c>
      <c r="E3" s="137" t="s">
        <v>1516</v>
      </c>
    </row>
    <row r="4" spans="1:11">
      <c r="A4" s="136" t="s">
        <v>591</v>
      </c>
      <c r="B4" s="136">
        <f>'DNA Loop Engine'!B5</f>
        <v>50</v>
      </c>
      <c r="C4" s="136" t="s">
        <v>504</v>
      </c>
      <c r="E4" s="138" t="s">
        <v>1517</v>
      </c>
      <c r="F4" s="138" t="s">
        <v>562</v>
      </c>
      <c r="G4" s="138" t="s">
        <v>1518</v>
      </c>
      <c r="H4" s="138" t="s">
        <v>455</v>
      </c>
    </row>
    <row r="5" spans="1:11">
      <c r="A5" t="s">
        <v>1519</v>
      </c>
      <c r="B5">
        <f>'DNA Loop Engine'!B5</f>
        <v>50</v>
      </c>
      <c r="C5" t="s">
        <v>1520</v>
      </c>
      <c r="E5" t="s">
        <v>842</v>
      </c>
      <c r="F5" t="s">
        <v>1521</v>
      </c>
      <c r="G5" t="s">
        <v>1051</v>
      </c>
      <c r="H5" s="11">
        <f>IF($B$7="Pre-Birth",0%,MIN(100%,$B$7*10%+60%))</f>
        <v>0.62</v>
      </c>
    </row>
    <row r="6" spans="1:11">
      <c r="A6" t="s">
        <v>1522</v>
      </c>
      <c r="B6">
        <f>MAX(0,B5-40)</f>
        <v>10</v>
      </c>
      <c r="C6" t="s">
        <v>1523</v>
      </c>
      <c r="E6" t="s">
        <v>1170</v>
      </c>
      <c r="F6" t="s">
        <v>1524</v>
      </c>
      <c r="G6" t="s">
        <v>1525</v>
      </c>
      <c r="H6" s="11">
        <f>IF($B$7="Pre-Birth",0%,MIN(100%,$B$7*8%+40%))</f>
        <v>0.41600000000000004</v>
      </c>
    </row>
    <row r="7" spans="1:11">
      <c r="A7" t="s">
        <v>1526</v>
      </c>
      <c r="B7">
        <f>IF(B6&gt;0,ROUND(B6/52,1),"Pre-Birth")</f>
        <v>0.2</v>
      </c>
      <c r="C7" t="s">
        <v>1527</v>
      </c>
      <c r="E7" t="s">
        <v>787</v>
      </c>
      <c r="F7" t="s">
        <v>1528</v>
      </c>
      <c r="G7" t="s">
        <v>1529</v>
      </c>
      <c r="H7" s="11">
        <f>IF($B$7="Pre-Birth",0%,MIN(100%,$B$7*6%+20%))</f>
        <v>0.21200000000000002</v>
      </c>
    </row>
    <row r="8" spans="1:11">
      <c r="A8" t="s">
        <v>1530</v>
      </c>
      <c r="B8" t="str">
        <f>IF(B7="Pre-Birth","🔄 GESTATING",IF(B7&lt;1,"🍼 Infant",IF(B7&lt;3,"🧒 Toddler",IF(B7&lt;6,"👦 Early Childhood",IF(B7&lt;12,"🎒 Middle Childhood","🧑 Adolescent")))))</f>
        <v>🍼 Infant</v>
      </c>
      <c r="C8" t="s">
        <v>1531</v>
      </c>
      <c r="E8" t="s">
        <v>1532</v>
      </c>
      <c r="F8" t="s">
        <v>1533</v>
      </c>
      <c r="G8" t="s">
        <v>1534</v>
      </c>
      <c r="H8" s="11">
        <f>IF($B$7="Pre-Birth",0%,MIN(100%,$B$7*7%+10%))</f>
        <v>0.114</v>
      </c>
    </row>
    <row r="9" spans="1:11">
      <c r="A9" t="s">
        <v>1535</v>
      </c>
      <c r="B9" t="str">
        <f>IF(B7="Pre-Birth","⏳ Pre-Cognitive",IF(B7&lt;1,"🔄 Sensorimotor",IF(B7&lt;2,"🔄 Pre-Operational",IF(B7&lt;7,"🟡 Intuitive",IF(B7&lt;12,"🟢 Concrete Ops","🔵 Formal Ops")))))</f>
        <v>🔄 Sensorimotor</v>
      </c>
      <c r="C9" t="s">
        <v>1536</v>
      </c>
      <c r="E9" t="s">
        <v>1537</v>
      </c>
      <c r="F9" t="s">
        <v>1538</v>
      </c>
      <c r="G9" t="s">
        <v>1539</v>
      </c>
      <c r="H9" s="11">
        <f>IF($B$7="Pre-Birth",0%,MIN(100%,$B$7*6%+5%))</f>
        <v>6.2E-2</v>
      </c>
    </row>
    <row r="10" spans="1:11">
      <c r="A10" t="s">
        <v>1540</v>
      </c>
      <c r="B10" t="str">
        <f>IF(B7="Pre-Birth","⏳ Pre-Verbal",IF(B7&lt;1,"🔄 Babbling",IF(B7&lt;2,"🔄 Single Words",IF(B7&lt;3,"🟡 Two-Word",IF(B7&lt;5,"🟢 Sentences","🔵 Fluent")))))</f>
        <v>🔄 Babbling</v>
      </c>
      <c r="C10" t="s">
        <v>1541</v>
      </c>
      <c r="E10" t="s">
        <v>1542</v>
      </c>
      <c r="F10" t="s">
        <v>1543</v>
      </c>
      <c r="G10" t="s">
        <v>1544</v>
      </c>
      <c r="H10" s="11">
        <f>IF($B$7="Pre-Birth",0%,MIN(100%,$B$7*5%))</f>
        <v>1.0000000000000002E-2</v>
      </c>
    </row>
    <row r="11" spans="1:11">
      <c r="A11" t="s">
        <v>1545</v>
      </c>
      <c r="B11" t="str">
        <f>IF(B7="Pre-Birth","⏳ Pre-Social",IF(B7&lt;1,"🔄 Attachment",IF(B7&lt;3,"🔄 Parallel Play",IF(B7&lt;6,"🟡 Cooperative",IF(B7&lt;12,"🟢 Complex Social","🔵 Identity")))))</f>
        <v>🔄 Attachment</v>
      </c>
      <c r="C11" t="s">
        <v>1546</v>
      </c>
    </row>
    <row r="13" spans="1:11">
      <c r="A13" s="139" t="s">
        <v>1547</v>
      </c>
    </row>
    <row r="14" spans="1:11">
      <c r="A14" s="140" t="s">
        <v>41</v>
      </c>
      <c r="B14" s="140" t="s">
        <v>1517</v>
      </c>
      <c r="C14" s="140" t="s">
        <v>452</v>
      </c>
      <c r="D14" s="140" t="s">
        <v>453</v>
      </c>
      <c r="E14" s="140" t="s">
        <v>1518</v>
      </c>
      <c r="F14" s="140" t="s">
        <v>451</v>
      </c>
      <c r="G14" s="140" t="s">
        <v>1548</v>
      </c>
      <c r="H14" s="140" t="s">
        <v>47</v>
      </c>
      <c r="I14" s="140" t="s">
        <v>48</v>
      </c>
      <c r="J14" s="140" t="s">
        <v>562</v>
      </c>
      <c r="K14" s="140" t="s">
        <v>455</v>
      </c>
    </row>
    <row r="15" spans="1:11">
      <c r="A15" s="131" t="s">
        <v>1549</v>
      </c>
      <c r="B15" s="131" t="s">
        <v>1388</v>
      </c>
      <c r="C15" s="131">
        <v>40</v>
      </c>
      <c r="D15" s="131">
        <v>312</v>
      </c>
      <c r="E15" s="131" t="s">
        <v>1550</v>
      </c>
      <c r="F15" s="131" t="s">
        <v>1551</v>
      </c>
      <c r="G15" s="131" t="s">
        <v>1552</v>
      </c>
      <c r="H15" s="131" t="s">
        <v>1553</v>
      </c>
      <c r="I15" s="131">
        <f>'DNA Loop Engine'!$B$5</f>
        <v>50</v>
      </c>
      <c r="J15" s="131" t="str">
        <f>IF(I15&lt;C15,"⏳ Dormant",IF(I15&lt;D15,"🔄 Developing","✅ Mature"))</f>
        <v>🔄 Developing</v>
      </c>
      <c r="K15" s="141">
        <f>IF(I15&lt;C15,0%,MIN(100%,(I15-C15)/(D15-C15)))</f>
        <v>3.6764705882352942E-2</v>
      </c>
    </row>
    <row r="16" spans="1:11">
      <c r="A16" s="131" t="s">
        <v>1554</v>
      </c>
      <c r="B16" s="131" t="s">
        <v>1388</v>
      </c>
      <c r="C16" s="131">
        <v>40</v>
      </c>
      <c r="D16" s="131">
        <v>624</v>
      </c>
      <c r="E16" s="131" t="s">
        <v>1555</v>
      </c>
      <c r="F16" s="131" t="s">
        <v>1556</v>
      </c>
      <c r="G16" s="131" t="s">
        <v>1557</v>
      </c>
      <c r="H16" s="131" t="s">
        <v>1553</v>
      </c>
      <c r="I16" s="131">
        <f>'DNA Loop Engine'!$B$5</f>
        <v>50</v>
      </c>
      <c r="J16" s="131" t="str">
        <f>IF(I16&lt;C16,"⏳ Dormant",IF(I16&lt;D16,"🔄 Developing","✅ Mature"))</f>
        <v>🔄 Developing</v>
      </c>
      <c r="K16" s="141">
        <f>IF(I16&lt;C16,0%,MIN(100%,(I16-C16)/(D16-C16)))</f>
        <v>1.7123287671232876E-2</v>
      </c>
    </row>
    <row r="17" spans="1:11">
      <c r="A17" s="131" t="s">
        <v>1558</v>
      </c>
      <c r="B17" s="131" t="s">
        <v>1388</v>
      </c>
      <c r="C17" s="131">
        <v>36</v>
      </c>
      <c r="D17" s="131">
        <v>312</v>
      </c>
      <c r="E17" s="131" t="s">
        <v>1559</v>
      </c>
      <c r="F17" s="131" t="s">
        <v>1560</v>
      </c>
      <c r="G17" s="131" t="s">
        <v>1561</v>
      </c>
      <c r="H17" s="131" t="s">
        <v>1553</v>
      </c>
      <c r="I17" s="131">
        <f>'DNA Loop Engine'!$B$5</f>
        <v>50</v>
      </c>
      <c r="J17" s="131" t="str">
        <f>IF(I17&lt;C17,"⏳ Dormant",IF(I17&lt;D17,"🔄 Developing","✅ Mature"))</f>
        <v>🔄 Developing</v>
      </c>
      <c r="K17" s="141">
        <f>IF(I17&lt;C17,0%,MIN(100%,(I17-C17)/(D17-C17)))</f>
        <v>5.0724637681159424E-2</v>
      </c>
    </row>
    <row r="18" spans="1:11">
      <c r="A18" s="129" t="s">
        <v>1562</v>
      </c>
      <c r="B18" s="129" t="s">
        <v>1563</v>
      </c>
      <c r="C18" s="129">
        <v>36</v>
      </c>
      <c r="D18" s="129">
        <v>312</v>
      </c>
      <c r="E18" s="129" t="s">
        <v>1564</v>
      </c>
      <c r="F18" s="129" t="s">
        <v>1565</v>
      </c>
      <c r="G18" s="129" t="s">
        <v>1552</v>
      </c>
      <c r="H18" s="129" t="s">
        <v>1553</v>
      </c>
      <c r="I18" s="129">
        <f>'DNA Loop Engine'!$B$5</f>
        <v>50</v>
      </c>
      <c r="J18" s="129" t="str">
        <f>IF(I18&lt;C18,"⏳ Dormant",IF(I18&lt;D18,"🔄 Developing","✅ Mature"))</f>
        <v>🔄 Developing</v>
      </c>
      <c r="K18" s="142">
        <f>IF(I18&lt;C18,0%,MIN(100%,(I18-C18)/(D18-C18)))</f>
        <v>5.0724637681159424E-2</v>
      </c>
    </row>
    <row r="19" spans="1:11">
      <c r="A19" s="130" t="s">
        <v>923</v>
      </c>
      <c r="B19" s="130" t="s">
        <v>623</v>
      </c>
      <c r="C19" s="130">
        <v>36</v>
      </c>
      <c r="D19" s="130">
        <v>312</v>
      </c>
      <c r="E19" s="130" t="s">
        <v>1566</v>
      </c>
      <c r="F19" s="130" t="s">
        <v>1567</v>
      </c>
      <c r="G19" s="130" t="s">
        <v>1568</v>
      </c>
      <c r="H19" s="130" t="s">
        <v>298</v>
      </c>
      <c r="I19" s="130">
        <f>'DNA Loop Engine'!$B$5</f>
        <v>50</v>
      </c>
      <c r="J19" s="130" t="str">
        <f>IF(I19&lt;C19,"⏳ Dormant",IF(I19&lt;D19,"🔄 Developing","✅ Mature"))</f>
        <v>🔄 Developing</v>
      </c>
      <c r="K19" s="143">
        <f>IF(I19&lt;C19,0%,MIN(100%,(I19-C19)/(D19-C19)))</f>
        <v>5.0724637681159424E-2</v>
      </c>
    </row>
    <row r="20" spans="1:11">
      <c r="A20" s="130" t="s">
        <v>1383</v>
      </c>
      <c r="B20" s="130" t="s">
        <v>623</v>
      </c>
      <c r="C20" s="130">
        <v>36</v>
      </c>
      <c r="D20" s="130">
        <v>312</v>
      </c>
      <c r="E20" s="130" t="s">
        <v>1569</v>
      </c>
      <c r="F20" s="130" t="s">
        <v>1570</v>
      </c>
      <c r="G20" s="130" t="s">
        <v>1568</v>
      </c>
      <c r="H20" s="130" t="s">
        <v>298</v>
      </c>
      <c r="I20" s="130">
        <f>'DNA Loop Engine'!$B$5</f>
        <v>50</v>
      </c>
      <c r="J20" s="130" t="str">
        <f>IF(I20&lt;C20,"⏳ Dormant",IF(I20&lt;D20,"🔄 Developing","✅ Mature"))</f>
        <v>🔄 Developing</v>
      </c>
      <c r="K20" s="143">
        <f>IF(I20&lt;C20,0%,MIN(100%,(I20-C20)/(D20-C20)))</f>
        <v>5.0724637681159424E-2</v>
      </c>
    </row>
    <row r="21" spans="1:11">
      <c r="A21" s="130" t="s">
        <v>1571</v>
      </c>
      <c r="B21" s="130" t="s">
        <v>623</v>
      </c>
      <c r="C21" s="130">
        <v>36</v>
      </c>
      <c r="D21" s="130">
        <v>312</v>
      </c>
      <c r="E21" s="130" t="s">
        <v>1572</v>
      </c>
      <c r="F21" s="130" t="s">
        <v>931</v>
      </c>
      <c r="G21" s="130" t="s">
        <v>1568</v>
      </c>
      <c r="H21" s="130" t="s">
        <v>298</v>
      </c>
      <c r="I21" s="130">
        <f>'DNA Loop Engine'!$B$5</f>
        <v>50</v>
      </c>
      <c r="J21" s="130" t="str">
        <f>IF(I21&lt;C21,"⏳ Dormant",IF(I21&lt;D21,"🔄 Developing","✅ Mature"))</f>
        <v>🔄 Developing</v>
      </c>
      <c r="K21" s="143">
        <f>IF(I21&lt;C21,0%,MIN(100%,(I21-C21)/(D21-C21)))</f>
        <v>5.0724637681159424E-2</v>
      </c>
    </row>
    <row r="22" spans="1:11">
      <c r="A22" s="129" t="s">
        <v>456</v>
      </c>
      <c r="B22" s="129" t="s">
        <v>1563</v>
      </c>
      <c r="C22" s="129">
        <v>36</v>
      </c>
      <c r="D22" s="129">
        <v>312</v>
      </c>
      <c r="E22" s="129" t="s">
        <v>1573</v>
      </c>
      <c r="F22" s="129" t="s">
        <v>472</v>
      </c>
      <c r="G22" s="129" t="s">
        <v>1574</v>
      </c>
      <c r="H22" s="129" t="s">
        <v>65</v>
      </c>
      <c r="I22" s="129">
        <f>'DNA Loop Engine'!$B$5</f>
        <v>50</v>
      </c>
      <c r="J22" s="129" t="str">
        <f>IF(I22&lt;C22,"⏳ Dormant",IF(I22&lt;D22,"🔄 Developing","✅ Mature"))</f>
        <v>🔄 Developing</v>
      </c>
      <c r="K22" s="142">
        <f>IF(I22&lt;C22,0%,MIN(100%,(I22-C22)/(D22-C22)))</f>
        <v>5.0724637681159424E-2</v>
      </c>
    </row>
    <row r="23" spans="1:11">
      <c r="A23" s="129" t="s">
        <v>258</v>
      </c>
      <c r="B23" s="129" t="s">
        <v>1563</v>
      </c>
      <c r="C23" s="129">
        <v>36</v>
      </c>
      <c r="D23" s="129">
        <v>312</v>
      </c>
      <c r="E23" s="129" t="s">
        <v>1575</v>
      </c>
      <c r="F23" s="129" t="s">
        <v>469</v>
      </c>
      <c r="G23" s="129" t="s">
        <v>1576</v>
      </c>
      <c r="H23" s="129" t="s">
        <v>65</v>
      </c>
      <c r="I23" s="129">
        <f>'DNA Loop Engine'!$B$5</f>
        <v>50</v>
      </c>
      <c r="J23" s="129" t="str">
        <f>IF(I23&lt;C23,"⏳ Dormant",IF(I23&lt;D23,"🔄 Developing","✅ Mature"))</f>
        <v>🔄 Developing</v>
      </c>
      <c r="K23" s="142">
        <f>IF(I23&lt;C23,0%,MIN(100%,(I23-C23)/(D23-C23)))</f>
        <v>5.0724637681159424E-2</v>
      </c>
    </row>
    <row r="24" spans="1:11">
      <c r="A24" s="129" t="s">
        <v>1397</v>
      </c>
      <c r="B24" s="129" t="s">
        <v>1563</v>
      </c>
      <c r="C24" s="129">
        <v>36</v>
      </c>
      <c r="D24" s="129">
        <v>624</v>
      </c>
      <c r="E24" s="129" t="s">
        <v>1577</v>
      </c>
      <c r="F24" s="129" t="s">
        <v>1565</v>
      </c>
      <c r="G24" s="129" t="s">
        <v>1552</v>
      </c>
      <c r="H24" s="129" t="s">
        <v>1553</v>
      </c>
      <c r="I24" s="129">
        <f>'DNA Loop Engine'!$B$5</f>
        <v>50</v>
      </c>
      <c r="J24" s="129" t="str">
        <f>IF(I24&lt;C24,"⏳ Dormant",IF(I24&lt;D24,"🔄 Developing","✅ Mature"))</f>
        <v>🔄 Developing</v>
      </c>
      <c r="K24" s="142">
        <f>IF(I24&lt;C24,0%,MIN(100%,(I24-C24)/(D24-C24)))</f>
        <v>2.3809523809523808E-2</v>
      </c>
    </row>
    <row r="25" spans="1:11">
      <c r="A25" s="132" t="s">
        <v>1578</v>
      </c>
      <c r="B25" s="132" t="s">
        <v>1579</v>
      </c>
      <c r="C25" s="132">
        <v>36</v>
      </c>
      <c r="D25" s="132">
        <v>624</v>
      </c>
      <c r="E25" s="132" t="s">
        <v>1580</v>
      </c>
      <c r="F25" s="132" t="s">
        <v>1581</v>
      </c>
      <c r="G25" s="132" t="s">
        <v>1582</v>
      </c>
      <c r="H25" s="132" t="s">
        <v>65</v>
      </c>
      <c r="I25" s="132">
        <f>'DNA Loop Engine'!$B$5</f>
        <v>50</v>
      </c>
      <c r="J25" s="132" t="str">
        <f>IF(I25&lt;C25,"⏳ Dormant",IF(I25&lt;D25,"🔄 Developing","✅ Mature"))</f>
        <v>🔄 Developing</v>
      </c>
      <c r="K25" s="144">
        <f>IF(I25&lt;C25,0%,MIN(100%,(I25-C25)/(D25-C25)))</f>
        <v>2.3809523809523808E-2</v>
      </c>
    </row>
    <row r="27" spans="1:11">
      <c r="A27" s="145" t="s">
        <v>1583</v>
      </c>
      <c r="E27" s="147" t="s">
        <v>1584</v>
      </c>
    </row>
    <row r="28" spans="1:11">
      <c r="A28" s="133" t="s">
        <v>1585</v>
      </c>
      <c r="B28" s="133" t="s">
        <v>531</v>
      </c>
      <c r="C28" s="133" t="s">
        <v>1267</v>
      </c>
      <c r="D28" s="133" t="s">
        <v>1269</v>
      </c>
      <c r="E28" s="148" t="s">
        <v>669</v>
      </c>
      <c r="F28" s="148" t="s">
        <v>592</v>
      </c>
      <c r="G28" s="148" t="s">
        <v>1586</v>
      </c>
      <c r="H28" s="148" t="s">
        <v>562</v>
      </c>
    </row>
    <row r="29" spans="1:11">
      <c r="A29">
        <v>1</v>
      </c>
      <c r="B29">
        <v>92</v>
      </c>
      <c r="C29" t="s">
        <v>1587</v>
      </c>
      <c r="D29" t="s">
        <v>1315</v>
      </c>
      <c r="E29" t="s">
        <v>1588</v>
      </c>
      <c r="F29" s="11">
        <f>IF($B$7="Pre-Birth",0%,MIN(100%,$B$7*8%+20%))</f>
        <v>0.21600000000000003</v>
      </c>
      <c r="G29" t="s">
        <v>1589</v>
      </c>
      <c r="H29" t="str">
        <f>IF(F29&lt;30%,"🔴 Basic",IF(F29&lt;60%,"🟡 Developing","🟢 Strong"))</f>
        <v>🔴 Basic</v>
      </c>
    </row>
    <row r="30" spans="1:11">
      <c r="A30">
        <v>1.5</v>
      </c>
      <c r="B30">
        <v>118</v>
      </c>
      <c r="C30" t="s">
        <v>1590</v>
      </c>
      <c r="D30" t="s">
        <v>1591</v>
      </c>
      <c r="E30" t="s">
        <v>681</v>
      </c>
      <c r="F30" s="11">
        <f>IF($B$7="Pre-Birth",0%,MIN(100%,$B$7*7%+15%))</f>
        <v>0.16400000000000001</v>
      </c>
      <c r="G30" t="s">
        <v>1592</v>
      </c>
      <c r="H30" t="str">
        <f>IF(F30&lt;30%,"🔴 Forming",IF(F30&lt;60%,"🟡 Expanding","🟢 Established"))</f>
        <v>🔴 Forming</v>
      </c>
    </row>
    <row r="31" spans="1:11">
      <c r="A31">
        <v>2</v>
      </c>
      <c r="B31">
        <v>144</v>
      </c>
      <c r="C31" t="s">
        <v>1593</v>
      </c>
      <c r="D31" t="s">
        <v>1594</v>
      </c>
      <c r="E31" t="s">
        <v>1595</v>
      </c>
      <c r="F31">
        <f>IF($B$7="Pre-Birth",0,MIN(60,$B$7*5))</f>
        <v>1</v>
      </c>
      <c r="G31" t="s">
        <v>1596</v>
      </c>
      <c r="H31" t="str">
        <f>IF(F31&lt;10,"🔴 Brief",IF(F31&lt;30,"🟡 Growing","🟢 Sustained"))</f>
        <v>🔴 Brief</v>
      </c>
    </row>
    <row r="32" spans="1:11">
      <c r="A32">
        <v>3</v>
      </c>
      <c r="B32">
        <v>196</v>
      </c>
      <c r="C32" t="s">
        <v>1597</v>
      </c>
      <c r="D32" t="s">
        <v>1598</v>
      </c>
      <c r="E32" t="s">
        <v>1599</v>
      </c>
      <c r="F32" s="11">
        <f>IF($B$7="Pre-Birth",0%,MIN(100%,$B$7*9%+5%))</f>
        <v>6.8000000000000005E-2</v>
      </c>
      <c r="G32" t="s">
        <v>1600</v>
      </c>
      <c r="H32" t="str">
        <f>IF(F32&lt;30%,"🔴 Pre-Verbal",IF(F32&lt;60%,"🟡 Verbal","🟢 Fluent"))</f>
        <v>🔴 Pre-Verbal</v>
      </c>
    </row>
    <row r="33" spans="1:8">
      <c r="A33">
        <v>4</v>
      </c>
      <c r="B33">
        <v>248</v>
      </c>
      <c r="C33" t="s">
        <v>1601</v>
      </c>
      <c r="D33" t="s">
        <v>1602</v>
      </c>
      <c r="E33" t="s">
        <v>682</v>
      </c>
      <c r="F33" s="11">
        <f>IF($B$7="Pre-Birth",0%,MIN(100%,$B$7*6%+5%))</f>
        <v>6.2E-2</v>
      </c>
      <c r="G33" t="s">
        <v>1603</v>
      </c>
      <c r="H33" t="str">
        <f>IF(F33&lt;30%,"🔴 Concrete",IF(F33&lt;60%,"🟡 Transitional","🟢 Abstract"))</f>
        <v>🔴 Concrete</v>
      </c>
    </row>
    <row r="34" spans="1:8">
      <c r="A34">
        <v>5</v>
      </c>
      <c r="B34">
        <v>300</v>
      </c>
      <c r="C34" t="s">
        <v>1604</v>
      </c>
      <c r="D34" t="s">
        <v>1605</v>
      </c>
      <c r="E34" t="s">
        <v>1606</v>
      </c>
      <c r="F34" s="11">
        <f>IF($B$7="Pre-Birth",0%,MIN(100%,$B$7*7%+10%))</f>
        <v>0.114</v>
      </c>
      <c r="G34" t="s">
        <v>1607</v>
      </c>
      <c r="H34" t="str">
        <f>IF(F34&lt;30%,"🔴 Egocentric",IF(F34&lt;60%,"🟡 Empathic","🟢 Socially Aware"))</f>
        <v>🔴 Egocentric</v>
      </c>
    </row>
    <row r="35" spans="1:8">
      <c r="A35">
        <v>6</v>
      </c>
      <c r="B35">
        <v>352</v>
      </c>
      <c r="C35" t="s">
        <v>1608</v>
      </c>
      <c r="D35" t="s">
        <v>1609</v>
      </c>
      <c r="E35" t="s">
        <v>1610</v>
      </c>
      <c r="F35" s="73">
        <f>AVERAGE(F29:F34)</f>
        <v>0.27066666666666667</v>
      </c>
      <c r="G35" t="s">
        <v>1611</v>
      </c>
      <c r="H35" s="1" t="str">
        <f>IF(F35&lt;30%,"🔴 Emerging",IF(F35&lt;60%,"🟡 Developing","🟢 Mature"))</f>
        <v>🔴 Emerging</v>
      </c>
    </row>
    <row r="36" spans="1:8">
      <c r="A36">
        <v>7</v>
      </c>
      <c r="B36">
        <v>404</v>
      </c>
      <c r="C36" t="s">
        <v>1612</v>
      </c>
      <c r="D36" t="s">
        <v>1613</v>
      </c>
      <c r="E36" t="s">
        <v>1614</v>
      </c>
      <c r="F36" t="s">
        <v>1615</v>
      </c>
      <c r="G36" t="str">
        <f>IF($B$5&lt;B36,"⏳ Future",IF($B$5&gt;=B36,"✅ Achieved","🔄 In Progress"))</f>
        <v>⏳ Future</v>
      </c>
      <c r="H36" t="str">
        <f>IF(G36="✅ Achieved","Yes","No")</f>
        <v>No</v>
      </c>
    </row>
    <row r="37" spans="1:8">
      <c r="A37">
        <v>8</v>
      </c>
      <c r="B37">
        <v>456</v>
      </c>
      <c r="C37" t="s">
        <v>1616</v>
      </c>
      <c r="D37" t="s">
        <v>1617</v>
      </c>
      <c r="E37" t="s">
        <v>1618</v>
      </c>
      <c r="F37" t="s">
        <v>1619</v>
      </c>
      <c r="G37" t="str">
        <f>IF($B$5&lt;B37,"⏳ Future",IF($B$5&gt;=B37,"✅ Achieved","🔄 In Progress"))</f>
        <v>⏳ Future</v>
      </c>
      <c r="H37" t="str">
        <f>IF(G37="✅ Achieved","Yes","No")</f>
        <v>No</v>
      </c>
    </row>
    <row r="38" spans="1:8">
      <c r="A38">
        <v>9</v>
      </c>
      <c r="B38">
        <v>508</v>
      </c>
      <c r="C38" t="s">
        <v>1620</v>
      </c>
      <c r="D38" t="s">
        <v>1621</v>
      </c>
      <c r="E38" t="s">
        <v>1622</v>
      </c>
      <c r="F38" t="s">
        <v>1623</v>
      </c>
      <c r="G38" t="str">
        <f>IF($B$5&lt;B38,"⏳ Future",IF($B$5&gt;=B38,"✅ Achieved","🔄 In Progress"))</f>
        <v>⏳ Future</v>
      </c>
      <c r="H38" t="str">
        <f>IF(G38="✅ Achieved","Yes","No")</f>
        <v>No</v>
      </c>
    </row>
    <row r="39" spans="1:8">
      <c r="A39">
        <v>10</v>
      </c>
      <c r="B39">
        <v>560</v>
      </c>
      <c r="C39" t="s">
        <v>1624</v>
      </c>
      <c r="D39" t="s">
        <v>1625</v>
      </c>
      <c r="E39" t="s">
        <v>1626</v>
      </c>
      <c r="F39" t="s">
        <v>1627</v>
      </c>
      <c r="G39" t="str">
        <f>IF($B$5&lt;B39,"⏳ Future",IF($B$5&gt;=B39,"✅ Achieved","🔄 In Progress"))</f>
        <v>⏳ Future</v>
      </c>
      <c r="H39" t="str">
        <f>IF(G39="✅ Achieved","Yes","No")</f>
        <v>No</v>
      </c>
    </row>
    <row r="40" spans="1:8">
      <c r="A40">
        <v>11</v>
      </c>
      <c r="B40">
        <v>612</v>
      </c>
      <c r="C40" t="s">
        <v>1628</v>
      </c>
      <c r="D40" t="s">
        <v>1629</v>
      </c>
      <c r="E40" t="s">
        <v>1630</v>
      </c>
      <c r="F40" t="s">
        <v>1631</v>
      </c>
      <c r="G40" t="str">
        <f>IF($B$5&lt;B40,"⏳ Future",IF($B$5&gt;=B40,"✅ Achieved","🔄 In Progress"))</f>
        <v>⏳ Future</v>
      </c>
      <c r="H40" t="str">
        <f>IF(G40="✅ Achieved","Yes","No")</f>
        <v>No</v>
      </c>
    </row>
    <row r="41" spans="1:8">
      <c r="A41">
        <v>12</v>
      </c>
      <c r="B41">
        <v>664</v>
      </c>
      <c r="C41" t="s">
        <v>1632</v>
      </c>
      <c r="D41" t="s">
        <v>1633</v>
      </c>
      <c r="E41" t="s">
        <v>1634</v>
      </c>
      <c r="F41" t="s">
        <v>1635</v>
      </c>
      <c r="G41" t="str">
        <f>IF($B$5&lt;B41,"⏳ Future",IF($B$5&gt;=B41,"✅ Achieved","🔄 In Progress"))</f>
        <v>⏳ Future</v>
      </c>
      <c r="H41" t="str">
        <f>IF(G41="✅ Achieved","Yes","No")</f>
        <v>No</v>
      </c>
    </row>
    <row r="43" spans="1:8">
      <c r="A43" s="146" t="s">
        <v>1636</v>
      </c>
    </row>
    <row r="44" spans="1:8">
      <c r="A44" s="1" t="s">
        <v>669</v>
      </c>
      <c r="B44" s="1" t="s">
        <v>592</v>
      </c>
      <c r="C44" s="1" t="s">
        <v>562</v>
      </c>
    </row>
    <row r="45" spans="1:8">
      <c r="A45" t="s">
        <v>1637</v>
      </c>
      <c r="B45">
        <f>COUNTIF(H29:H41,"Yes")</f>
        <v>0</v>
      </c>
      <c r="C45" t="str">
        <f>B45&amp;" of 13"</f>
        <v>0 of 13</v>
      </c>
    </row>
    <row r="46" spans="1:8">
      <c r="A46" t="s">
        <v>1638</v>
      </c>
      <c r="B46" cm="1">
        <f t="array" ref="B46">IFERROR(MIN(IF(H29:H41="No",A29:A41)),"All Complete")</f>
        <v>7</v>
      </c>
      <c r="C46" t="str">
        <f>IF(B46="All Complete","🎉",B46&amp;" years")</f>
        <v>7 years</v>
      </c>
    </row>
    <row r="47" spans="1:8">
      <c r="A47" t="s">
        <v>1639</v>
      </c>
      <c r="B47" s="11">
        <f>B45/13</f>
        <v>0</v>
      </c>
      <c r="C47" t="str">
        <f>IF(B47&lt;0.25,"🔴 Early",IF(B47&lt;0.5,"🟡 Developing",IF(B47&lt;0.75,"🟢 On Track","🔵 Advanced")))</f>
        <v>🔴 Early</v>
      </c>
    </row>
    <row r="49" spans="1:5">
      <c r="A49" s="149" t="s">
        <v>828</v>
      </c>
    </row>
    <row r="50" spans="1:5">
      <c r="A50" s="1" t="s">
        <v>1640</v>
      </c>
      <c r="B50" s="1" t="s">
        <v>1152</v>
      </c>
      <c r="C50" s="1" t="s">
        <v>1641</v>
      </c>
      <c r="D50" s="1" t="s">
        <v>1154</v>
      </c>
    </row>
    <row r="51" spans="1:5">
      <c r="A51" t="s">
        <v>833</v>
      </c>
      <c r="B51">
        <f>'DNA Loop Engine'!B5</f>
        <v>50</v>
      </c>
      <c r="C51" t="s">
        <v>48</v>
      </c>
      <c r="D51" t="s">
        <v>1642</v>
      </c>
    </row>
    <row r="52" spans="1:5">
      <c r="A52" t="s">
        <v>1643</v>
      </c>
      <c r="B52" s="11">
        <f>'Infant Development'!B20</f>
        <v>1</v>
      </c>
      <c r="C52" t="s">
        <v>1334</v>
      </c>
      <c r="D52" t="s">
        <v>1644</v>
      </c>
    </row>
    <row r="53" spans="1:5">
      <c r="A53" t="s">
        <v>1170</v>
      </c>
      <c r="B53" s="11">
        <f>'Sensory Integration'!L2</f>
        <v>1</v>
      </c>
      <c r="C53" t="s">
        <v>1645</v>
      </c>
      <c r="D53" t="s">
        <v>1646</v>
      </c>
    </row>
    <row r="54" spans="1:5">
      <c r="A54" t="s">
        <v>842</v>
      </c>
      <c r="C54" t="s">
        <v>1647</v>
      </c>
      <c r="D54" t="s">
        <v>1648</v>
      </c>
    </row>
    <row r="56" spans="1:5">
      <c r="A56" s="326" t="s">
        <v>1649</v>
      </c>
      <c r="B56" s="348"/>
      <c r="C56" s="348"/>
      <c r="D56" s="348"/>
      <c r="E56" s="348"/>
    </row>
    <row r="57" spans="1:5">
      <c r="A57" s="161" t="s">
        <v>669</v>
      </c>
      <c r="B57" s="161" t="s">
        <v>592</v>
      </c>
      <c r="C57" s="161" t="s">
        <v>562</v>
      </c>
    </row>
    <row r="58" spans="1:5">
      <c r="A58" t="s">
        <v>1650</v>
      </c>
      <c r="B58" s="11">
        <f>'Cognition &amp; Language'!G5</f>
        <v>0.44901960784313727</v>
      </c>
      <c r="C58" t="str">
        <f>'Cognition &amp; Language'!H5</f>
        <v>🔄 Emerging</v>
      </c>
    </row>
    <row r="59" spans="1:5">
      <c r="A59" t="s">
        <v>1651</v>
      </c>
      <c r="B59" s="11">
        <f>'Cognition &amp; Language'!G6</f>
        <v>0.54166666666666674</v>
      </c>
      <c r="C59" t="str">
        <f>'Cognition &amp; Language'!H6</f>
        <v>🟢 Speaking</v>
      </c>
    </row>
    <row r="60" spans="1:5">
      <c r="A60" t="s">
        <v>679</v>
      </c>
      <c r="B60" s="11">
        <f>'Cognition &amp; Language'!G7</f>
        <v>0.54166666666666674</v>
      </c>
      <c r="C60" t="str">
        <f>'Cognition &amp; Language'!H7</f>
        <v>🟢 Talking</v>
      </c>
    </row>
    <row r="61" spans="1:5">
      <c r="A61" t="s">
        <v>680</v>
      </c>
      <c r="B61" s="11">
        <f>'Cognition &amp; Language'!G8</f>
        <v>0.54166666666666674</v>
      </c>
      <c r="C61" t="str">
        <f>'Cognition &amp; Language'!H8</f>
        <v>🟢 Good</v>
      </c>
    </row>
    <row r="62" spans="1:5">
      <c r="A62" t="s">
        <v>681</v>
      </c>
      <c r="B62">
        <f>'Cognition &amp; Language'!G9</f>
        <v>58.333333333333336</v>
      </c>
      <c r="C62" t="str">
        <f>'Cognition &amp; Language'!H9</f>
        <v>🟢 Developing</v>
      </c>
    </row>
    <row r="63" spans="1:5">
      <c r="A63" t="s">
        <v>682</v>
      </c>
      <c r="B63" s="11">
        <f>'Cognition &amp; Language'!G10</f>
        <v>0.37254901960784315</v>
      </c>
      <c r="C63" t="str">
        <f>'Cognition &amp; Language'!H10</f>
        <v>🔄 Intuitive</v>
      </c>
    </row>
    <row r="64" spans="1:5">
      <c r="A64" t="s">
        <v>684</v>
      </c>
      <c r="B64" t="str">
        <f>'Cognition &amp; Language'!B65</f>
        <v>🟢 Developing</v>
      </c>
    </row>
    <row r="65" spans="1:2">
      <c r="A65" t="s">
        <v>1652</v>
      </c>
      <c r="B65" t="str">
        <f>'Cognition &amp; Language'!B63</f>
        <v>6 of 8</v>
      </c>
    </row>
  </sheetData>
  <mergeCells count="1">
    <mergeCell ref="A56:E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3383-5CBB-46F1-995C-694DE9D3F79A}">
  <dimension ref="A1:L78"/>
  <sheetViews>
    <sheetView topLeftCell="A45" workbookViewId="0"/>
  </sheetViews>
  <sheetFormatPr defaultRowHeight="15"/>
  <cols>
    <col min="1" max="1" width="65.140625" bestFit="1" customWidth="1"/>
    <col min="2" max="2" width="12.140625" bestFit="1" customWidth="1"/>
    <col min="3" max="3" width="16" bestFit="1" customWidth="1"/>
    <col min="4" max="4" width="16.42578125" bestFit="1" customWidth="1"/>
    <col min="5" max="5" width="13.7109375" bestFit="1" customWidth="1"/>
    <col min="6" max="6" width="25.5703125" bestFit="1" customWidth="1"/>
    <col min="7" max="7" width="10.28515625" bestFit="1" customWidth="1"/>
    <col min="8" max="8" width="18.140625" bestFit="1" customWidth="1"/>
    <col min="9" max="9" width="13.7109375" bestFit="1" customWidth="1"/>
    <col min="10" max="10" width="14.140625" bestFit="1" customWidth="1"/>
    <col min="11" max="11" width="9.7109375" bestFit="1" customWidth="1"/>
    <col min="12" max="12" width="11.5703125" bestFit="1" customWidth="1"/>
  </cols>
  <sheetData>
    <row r="1" spans="1:8" ht="21">
      <c r="A1" s="150" t="s">
        <v>1653</v>
      </c>
    </row>
    <row r="3" spans="1:8">
      <c r="A3" s="136" t="s">
        <v>1654</v>
      </c>
      <c r="F3" s="126" t="s">
        <v>1405</v>
      </c>
    </row>
    <row r="4" spans="1:8">
      <c r="A4" s="152" t="s">
        <v>591</v>
      </c>
      <c r="B4" s="152" t="s">
        <v>592</v>
      </c>
      <c r="C4" s="152" t="s">
        <v>593</v>
      </c>
      <c r="D4" s="152" t="s">
        <v>504</v>
      </c>
      <c r="F4" s="1" t="s">
        <v>718</v>
      </c>
      <c r="G4" s="1" t="s">
        <v>592</v>
      </c>
      <c r="H4" s="1" t="s">
        <v>703</v>
      </c>
    </row>
    <row r="5" spans="1:8">
      <c r="A5" t="s">
        <v>1406</v>
      </c>
      <c r="B5" s="151">
        <v>46034</v>
      </c>
      <c r="C5" t="s">
        <v>1655</v>
      </c>
      <c r="D5" t="s">
        <v>1656</v>
      </c>
      <c r="F5" t="s">
        <v>48</v>
      </c>
      <c r="G5">
        <f>'DNA Loop Engine'!B5</f>
        <v>50</v>
      </c>
      <c r="H5" t="s">
        <v>1657</v>
      </c>
    </row>
    <row r="6" spans="1:8">
      <c r="A6" t="s">
        <v>1658</v>
      </c>
      <c r="B6">
        <v>75</v>
      </c>
      <c r="C6" t="s">
        <v>1139</v>
      </c>
      <c r="D6" t="s">
        <v>1659</v>
      </c>
      <c r="F6" t="s">
        <v>1522</v>
      </c>
      <c r="G6">
        <f>MAX(0,G5-40)</f>
        <v>10</v>
      </c>
      <c r="H6" t="s">
        <v>1523</v>
      </c>
    </row>
    <row r="7" spans="1:8">
      <c r="A7" t="s">
        <v>1660</v>
      </c>
      <c r="B7">
        <v>115</v>
      </c>
      <c r="C7" t="s">
        <v>1139</v>
      </c>
      <c r="D7" t="s">
        <v>1661</v>
      </c>
      <c r="F7" t="s">
        <v>1526</v>
      </c>
      <c r="G7">
        <f>IF(G6&gt;0,ROUND(G6/52,1),"Pre-Birth")</f>
        <v>0.2</v>
      </c>
      <c r="H7" t="s">
        <v>1527</v>
      </c>
    </row>
    <row r="8" spans="1:8">
      <c r="A8" t="s">
        <v>1662</v>
      </c>
      <c r="B8">
        <v>150</v>
      </c>
      <c r="C8" t="s">
        <v>1139</v>
      </c>
      <c r="D8" t="s">
        <v>1663</v>
      </c>
      <c r="F8" t="s">
        <v>1664</v>
      </c>
      <c r="G8" s="11">
        <f>IF(G7="Pre-Birth",0%,MIN(100%,43%+G7*4.75%))</f>
        <v>0.4395</v>
      </c>
      <c r="H8" t="s">
        <v>1665</v>
      </c>
    </row>
    <row r="9" spans="1:8">
      <c r="A9" t="s">
        <v>1666</v>
      </c>
      <c r="B9">
        <v>10</v>
      </c>
      <c r="C9" t="s">
        <v>1142</v>
      </c>
      <c r="D9" t="s">
        <v>1659</v>
      </c>
      <c r="F9" t="s">
        <v>1667</v>
      </c>
      <c r="G9" s="11">
        <f>IF(G7="Pre-Birth",0%,MIN(100%,5%+G7*7.5%))</f>
        <v>6.5000000000000002E-2</v>
      </c>
      <c r="H9" t="s">
        <v>1668</v>
      </c>
    </row>
    <row r="10" spans="1:8">
      <c r="A10" t="s">
        <v>1669</v>
      </c>
      <c r="B10">
        <v>21</v>
      </c>
      <c r="C10" t="s">
        <v>1142</v>
      </c>
      <c r="D10" t="s">
        <v>1661</v>
      </c>
    </row>
    <row r="11" spans="1:8">
      <c r="A11" t="s">
        <v>1670</v>
      </c>
      <c r="B11">
        <v>40</v>
      </c>
      <c r="C11" t="s">
        <v>1142</v>
      </c>
      <c r="D11" t="s">
        <v>1663</v>
      </c>
    </row>
    <row r="12" spans="1:8">
      <c r="A12" t="s">
        <v>1426</v>
      </c>
      <c r="B12" t="s">
        <v>608</v>
      </c>
      <c r="D12" t="s">
        <v>1427</v>
      </c>
    </row>
    <row r="13" spans="1:8">
      <c r="A13" t="s">
        <v>1428</v>
      </c>
      <c r="B13">
        <v>0</v>
      </c>
      <c r="C13" t="s">
        <v>596</v>
      </c>
      <c r="D13" t="s">
        <v>1429</v>
      </c>
    </row>
    <row r="14" spans="1:8">
      <c r="A14" t="s">
        <v>1430</v>
      </c>
      <c r="B14">
        <v>0</v>
      </c>
      <c r="C14" t="s">
        <v>596</v>
      </c>
      <c r="D14" t="s">
        <v>1431</v>
      </c>
    </row>
    <row r="15" spans="1:8">
      <c r="A15" t="s">
        <v>1432</v>
      </c>
      <c r="B15">
        <v>0</v>
      </c>
      <c r="C15" t="s">
        <v>596</v>
      </c>
      <c r="D15" t="s">
        <v>1433</v>
      </c>
    </row>
    <row r="17" spans="1:12">
      <c r="A17" s="153" t="s">
        <v>1671</v>
      </c>
    </row>
    <row r="18" spans="1:12">
      <c r="A18" s="152" t="s">
        <v>41</v>
      </c>
      <c r="B18" s="152" t="s">
        <v>42</v>
      </c>
      <c r="C18" s="152" t="s">
        <v>43</v>
      </c>
      <c r="D18" s="152" t="s">
        <v>47</v>
      </c>
      <c r="E18" s="152" t="s">
        <v>50</v>
      </c>
      <c r="F18" s="152" t="s">
        <v>51</v>
      </c>
      <c r="G18" s="152" t="s">
        <v>52</v>
      </c>
      <c r="H18" s="152" t="s">
        <v>53</v>
      </c>
      <c r="I18" s="152" t="s">
        <v>1672</v>
      </c>
      <c r="J18" s="152" t="s">
        <v>1673</v>
      </c>
      <c r="K18" s="152" t="s">
        <v>1674</v>
      </c>
      <c r="L18" s="152" t="s">
        <v>562</v>
      </c>
    </row>
    <row r="19" spans="1:12">
      <c r="A19" s="129" t="s">
        <v>1675</v>
      </c>
      <c r="B19" s="129" t="s">
        <v>62</v>
      </c>
      <c r="C19" s="129" t="s">
        <v>1676</v>
      </c>
      <c r="D19" s="129" t="s">
        <v>65</v>
      </c>
      <c r="E19" s="129" t="s">
        <v>66</v>
      </c>
      <c r="F19" s="129">
        <v>0</v>
      </c>
      <c r="G19" s="129">
        <v>0.55000000000000004</v>
      </c>
      <c r="H19" s="129">
        <v>0</v>
      </c>
      <c r="I19" s="129">
        <v>18</v>
      </c>
      <c r="J19" s="129">
        <v>22</v>
      </c>
      <c r="K19" s="142">
        <f>IF($G$7="Pre-Birth",0%,MIN(100%,I19/J19))</f>
        <v>0.81818181818181823</v>
      </c>
      <c r="L19" s="129" t="s">
        <v>1440</v>
      </c>
    </row>
    <row r="20" spans="1:12">
      <c r="A20" s="129" t="s">
        <v>61</v>
      </c>
      <c r="B20" s="129" t="s">
        <v>62</v>
      </c>
      <c r="C20" s="129" t="s">
        <v>1677</v>
      </c>
      <c r="D20" s="129" t="s">
        <v>65</v>
      </c>
      <c r="E20" s="129" t="s">
        <v>861</v>
      </c>
      <c r="F20" s="129">
        <v>0</v>
      </c>
      <c r="G20" s="129">
        <v>0.6</v>
      </c>
      <c r="H20" s="129">
        <v>0.06</v>
      </c>
      <c r="I20" s="129">
        <v>8</v>
      </c>
      <c r="J20" s="129">
        <v>12</v>
      </c>
      <c r="K20" s="142">
        <f>IF($G$7="Pre-Birth",0%,MIN(100%,I20/J20))</f>
        <v>0.66666666666666663</v>
      </c>
      <c r="L20" s="129" t="s">
        <v>1440</v>
      </c>
    </row>
    <row r="21" spans="1:12">
      <c r="A21" s="129" t="s">
        <v>1443</v>
      </c>
      <c r="B21" s="129" t="s">
        <v>62</v>
      </c>
      <c r="C21" s="129" t="s">
        <v>1678</v>
      </c>
      <c r="D21" s="129" t="s">
        <v>65</v>
      </c>
      <c r="E21" s="129" t="s">
        <v>861</v>
      </c>
      <c r="F21" s="129">
        <v>0.06</v>
      </c>
      <c r="G21" s="129">
        <v>0.62</v>
      </c>
      <c r="H21" s="129">
        <v>0</v>
      </c>
      <c r="I21" s="129">
        <v>10</v>
      </c>
      <c r="J21" s="129">
        <v>14</v>
      </c>
      <c r="K21" s="142">
        <f>IF($G$7="Pre-Birth",0%,MIN(100%,I21/J21))</f>
        <v>0.7142857142857143</v>
      </c>
      <c r="L21" s="129" t="s">
        <v>1440</v>
      </c>
    </row>
    <row r="22" spans="1:12">
      <c r="A22" s="129" t="s">
        <v>1679</v>
      </c>
      <c r="B22" s="129" t="s">
        <v>62</v>
      </c>
      <c r="C22" s="129" t="s">
        <v>1680</v>
      </c>
      <c r="D22" s="129" t="s">
        <v>65</v>
      </c>
      <c r="E22" s="129" t="s">
        <v>66</v>
      </c>
      <c r="F22" s="129">
        <v>0</v>
      </c>
      <c r="G22" s="129">
        <v>0.28000000000000003</v>
      </c>
      <c r="H22" s="129">
        <v>-0.04</v>
      </c>
      <c r="I22" s="129">
        <v>38</v>
      </c>
      <c r="J22" s="129">
        <v>60</v>
      </c>
      <c r="K22" s="142">
        <f>IF($G$7="Pre-Birth",0%,MIN(100%,I22/J22))</f>
        <v>0.6333333333333333</v>
      </c>
      <c r="L22" s="129" t="s">
        <v>1440</v>
      </c>
    </row>
    <row r="23" spans="1:12">
      <c r="A23" s="129" t="s">
        <v>1681</v>
      </c>
      <c r="B23" s="129" t="s">
        <v>62</v>
      </c>
      <c r="C23" s="129" t="s">
        <v>1682</v>
      </c>
      <c r="D23" s="129" t="s">
        <v>65</v>
      </c>
      <c r="E23" s="129" t="s">
        <v>1450</v>
      </c>
      <c r="F23" s="129">
        <v>0.08</v>
      </c>
      <c r="G23" s="129">
        <v>0.35</v>
      </c>
      <c r="H23" s="129">
        <v>0.04</v>
      </c>
      <c r="I23" s="129">
        <v>18</v>
      </c>
      <c r="J23" s="129">
        <v>30</v>
      </c>
      <c r="K23" s="142">
        <f>IF($G$7="Pre-Birth",0%,MIN(100%,I23/J23))</f>
        <v>0.6</v>
      </c>
      <c r="L23" s="129" t="s">
        <v>1440</v>
      </c>
    </row>
    <row r="24" spans="1:12">
      <c r="A24" s="129" t="s">
        <v>146</v>
      </c>
      <c r="B24" s="129" t="s">
        <v>62</v>
      </c>
      <c r="C24" s="129" t="s">
        <v>1683</v>
      </c>
      <c r="D24" s="129" t="s">
        <v>65</v>
      </c>
      <c r="E24" s="129" t="s">
        <v>1475</v>
      </c>
      <c r="F24" s="129">
        <v>0</v>
      </c>
      <c r="G24" s="129">
        <v>0.38</v>
      </c>
      <c r="H24" s="129">
        <v>0.06</v>
      </c>
      <c r="I24" s="129">
        <v>10</v>
      </c>
      <c r="J24" s="129">
        <v>17</v>
      </c>
      <c r="K24" s="142">
        <f>IF($G$7="Pre-Birth",0%,MIN(100%,I24/J24))</f>
        <v>0.58823529411764708</v>
      </c>
      <c r="L24" s="129" t="s">
        <v>1440</v>
      </c>
    </row>
    <row r="25" spans="1:12">
      <c r="A25" s="129" t="s">
        <v>1455</v>
      </c>
      <c r="B25" s="129" t="s">
        <v>62</v>
      </c>
      <c r="C25" s="129" t="s">
        <v>1684</v>
      </c>
      <c r="D25" s="129" t="s">
        <v>65</v>
      </c>
      <c r="E25" s="129" t="s">
        <v>66</v>
      </c>
      <c r="F25" s="129">
        <v>0</v>
      </c>
      <c r="G25" s="129">
        <v>0</v>
      </c>
      <c r="H25" s="129">
        <v>0</v>
      </c>
      <c r="I25" s="129">
        <v>12</v>
      </c>
      <c r="J25" s="129">
        <v>20</v>
      </c>
      <c r="K25" s="142">
        <f>IF($G$7="Pre-Birth",0%,MIN(100%,I25/J25))</f>
        <v>0.6</v>
      </c>
      <c r="L25" s="129" t="s">
        <v>1440</v>
      </c>
    </row>
    <row r="26" spans="1:12">
      <c r="A26" s="129" t="s">
        <v>1453</v>
      </c>
      <c r="B26" s="129" t="s">
        <v>62</v>
      </c>
      <c r="C26" s="129" t="s">
        <v>1685</v>
      </c>
      <c r="D26" s="129" t="s">
        <v>65</v>
      </c>
      <c r="E26" s="129" t="s">
        <v>1455</v>
      </c>
      <c r="F26" s="129">
        <v>0.06</v>
      </c>
      <c r="G26" s="129">
        <v>-0.18</v>
      </c>
      <c r="H26" s="129">
        <v>0</v>
      </c>
      <c r="I26" s="129">
        <v>25</v>
      </c>
      <c r="J26" s="129">
        <v>45</v>
      </c>
      <c r="K26" s="142">
        <f>IF($G$7="Pre-Birth",0%,MIN(100%,I26/J26))</f>
        <v>0.55555555555555558</v>
      </c>
      <c r="L26" s="129" t="s">
        <v>1440</v>
      </c>
    </row>
    <row r="27" spans="1:12">
      <c r="A27" s="129" t="s">
        <v>1686</v>
      </c>
      <c r="B27" s="129" t="s">
        <v>62</v>
      </c>
      <c r="C27" s="129" t="s">
        <v>1687</v>
      </c>
      <c r="D27" s="129" t="s">
        <v>65</v>
      </c>
      <c r="E27" s="129" t="s">
        <v>1458</v>
      </c>
      <c r="F27" s="129">
        <v>0.06</v>
      </c>
      <c r="G27" s="129">
        <v>-0.38</v>
      </c>
      <c r="H27" s="129">
        <v>0</v>
      </c>
      <c r="I27" s="129">
        <v>22</v>
      </c>
      <c r="J27" s="129">
        <v>40</v>
      </c>
      <c r="K27" s="142">
        <f>IF($G$7="Pre-Birth",0%,MIN(100%,I27/J27))</f>
        <v>0.55000000000000004</v>
      </c>
      <c r="L27" s="129" t="s">
        <v>1440</v>
      </c>
    </row>
    <row r="28" spans="1:12">
      <c r="A28" s="129" t="s">
        <v>1688</v>
      </c>
      <c r="B28" s="129" t="s">
        <v>62</v>
      </c>
      <c r="C28" s="129" t="s">
        <v>1689</v>
      </c>
      <c r="D28" s="129" t="s">
        <v>65</v>
      </c>
      <c r="E28" s="129" t="s">
        <v>1690</v>
      </c>
      <c r="F28" s="129">
        <v>0.08</v>
      </c>
      <c r="G28" s="129">
        <v>-0.38</v>
      </c>
      <c r="H28" s="129">
        <v>0</v>
      </c>
      <c r="I28" s="129">
        <v>20</v>
      </c>
      <c r="J28" s="129">
        <v>38</v>
      </c>
      <c r="K28" s="142">
        <f>IF($G$7="Pre-Birth",0%,MIN(100%,I28/J28))</f>
        <v>0.52631578947368418</v>
      </c>
      <c r="L28" s="129" t="s">
        <v>1440</v>
      </c>
    </row>
    <row r="29" spans="1:12">
      <c r="A29" s="129" t="s">
        <v>1691</v>
      </c>
      <c r="B29" s="129" t="s">
        <v>62</v>
      </c>
      <c r="C29" s="129" t="s">
        <v>1692</v>
      </c>
      <c r="D29" s="129" t="s">
        <v>65</v>
      </c>
      <c r="E29" s="129" t="s">
        <v>1690</v>
      </c>
      <c r="F29" s="129">
        <v>0.06</v>
      </c>
      <c r="G29" s="129">
        <v>-0.52</v>
      </c>
      <c r="H29" s="129">
        <v>0.05</v>
      </c>
      <c r="I29" s="129">
        <v>14</v>
      </c>
      <c r="J29" s="129">
        <v>26</v>
      </c>
      <c r="K29" s="142">
        <f>IF($G$7="Pre-Birth",0%,MIN(100%,I29/J29))</f>
        <v>0.53846153846153844</v>
      </c>
      <c r="L29" s="129" t="s">
        <v>1440</v>
      </c>
    </row>
    <row r="30" spans="1:12">
      <c r="A30" s="129" t="s">
        <v>1693</v>
      </c>
      <c r="B30" s="129" t="s">
        <v>62</v>
      </c>
      <c r="C30" s="129" t="s">
        <v>1694</v>
      </c>
      <c r="D30" s="129" t="s">
        <v>65</v>
      </c>
      <c r="E30" s="129" t="s">
        <v>1450</v>
      </c>
      <c r="F30" s="129">
        <v>0.1</v>
      </c>
      <c r="G30" s="129">
        <v>0.42</v>
      </c>
      <c r="H30" s="129">
        <v>-0.04</v>
      </c>
      <c r="I30" s="129">
        <v>8</v>
      </c>
      <c r="J30" s="129">
        <v>15</v>
      </c>
      <c r="K30" s="142">
        <f>IF($G$7="Pre-Birth",0%,MIN(100%,I30/J30))</f>
        <v>0.53333333333333333</v>
      </c>
      <c r="L30" s="129" t="s">
        <v>1440</v>
      </c>
    </row>
    <row r="31" spans="1:12">
      <c r="A31" s="129" t="s">
        <v>1695</v>
      </c>
      <c r="B31" s="129" t="s">
        <v>62</v>
      </c>
      <c r="C31" s="129" t="s">
        <v>1696</v>
      </c>
      <c r="D31" s="129" t="s">
        <v>65</v>
      </c>
      <c r="E31" s="129" t="s">
        <v>146</v>
      </c>
      <c r="F31" s="129">
        <v>0.08</v>
      </c>
      <c r="G31" s="129">
        <v>0.45</v>
      </c>
      <c r="H31" s="129">
        <v>0.02</v>
      </c>
      <c r="I31" s="129">
        <v>8</v>
      </c>
      <c r="J31" s="129">
        <v>15</v>
      </c>
      <c r="K31" s="142">
        <f>IF($G$7="Pre-Birth",0%,MIN(100%,I31/J31))</f>
        <v>0.53333333333333333</v>
      </c>
      <c r="L31" s="129" t="s">
        <v>1440</v>
      </c>
    </row>
    <row r="32" spans="1:12">
      <c r="A32" s="129" t="s">
        <v>1459</v>
      </c>
      <c r="B32" s="129" t="s">
        <v>62</v>
      </c>
      <c r="C32" s="129" t="s">
        <v>1697</v>
      </c>
      <c r="D32" s="129" t="s">
        <v>65</v>
      </c>
      <c r="E32" s="129" t="s">
        <v>1461</v>
      </c>
      <c r="F32" s="129">
        <v>0.14000000000000001</v>
      </c>
      <c r="G32" s="129">
        <v>0.38</v>
      </c>
      <c r="H32" s="129">
        <v>0</v>
      </c>
      <c r="I32" s="129">
        <v>18</v>
      </c>
      <c r="J32" s="129">
        <v>35</v>
      </c>
      <c r="K32" s="142">
        <f>IF($G$7="Pre-Birth",0%,MIN(100%,I32/J32))</f>
        <v>0.51428571428571423</v>
      </c>
      <c r="L32" s="129" t="s">
        <v>1440</v>
      </c>
    </row>
    <row r="33" spans="1:12">
      <c r="A33" s="129" t="s">
        <v>1698</v>
      </c>
      <c r="B33" s="129" t="s">
        <v>62</v>
      </c>
      <c r="C33" s="129" t="s">
        <v>1699</v>
      </c>
      <c r="D33" s="129" t="s">
        <v>65</v>
      </c>
      <c r="E33" s="129" t="s">
        <v>1464</v>
      </c>
      <c r="F33" s="129">
        <v>0.18</v>
      </c>
      <c r="G33" s="129">
        <v>0.24</v>
      </c>
      <c r="H33" s="129">
        <v>0</v>
      </c>
      <c r="I33" s="129">
        <v>14</v>
      </c>
      <c r="J33" s="129">
        <v>26</v>
      </c>
      <c r="K33" s="142">
        <f>IF($G$7="Pre-Birth",0%,MIN(100%,I33/J33))</f>
        <v>0.53846153846153844</v>
      </c>
      <c r="L33" s="129" t="s">
        <v>1440</v>
      </c>
    </row>
    <row r="34" spans="1:12">
      <c r="A34" s="129" t="s">
        <v>1700</v>
      </c>
      <c r="B34" s="129" t="s">
        <v>62</v>
      </c>
      <c r="C34" s="129" t="s">
        <v>1701</v>
      </c>
      <c r="D34" s="129" t="s">
        <v>65</v>
      </c>
      <c r="E34" s="129" t="s">
        <v>1464</v>
      </c>
      <c r="F34" s="129">
        <v>0.16</v>
      </c>
      <c r="G34" s="129">
        <v>0.24</v>
      </c>
      <c r="H34" s="129">
        <v>0</v>
      </c>
      <c r="I34" s="129">
        <v>15</v>
      </c>
      <c r="J34" s="129">
        <v>28</v>
      </c>
      <c r="K34" s="142">
        <f>IF($G$7="Pre-Birth",0%,MIN(100%,I34/J34))</f>
        <v>0.5357142857142857</v>
      </c>
      <c r="L34" s="129" t="s">
        <v>1440</v>
      </c>
    </row>
    <row r="35" spans="1:12">
      <c r="A35" s="129" t="s">
        <v>1702</v>
      </c>
      <c r="B35" s="129" t="s">
        <v>62</v>
      </c>
      <c r="C35" s="129" t="s">
        <v>1703</v>
      </c>
      <c r="D35" s="129" t="s">
        <v>65</v>
      </c>
      <c r="E35" s="129" t="s">
        <v>1704</v>
      </c>
      <c r="F35" s="129">
        <v>0.2</v>
      </c>
      <c r="G35" s="129">
        <v>0.14000000000000001</v>
      </c>
      <c r="H35" s="129">
        <v>0</v>
      </c>
      <c r="I35" s="129">
        <v>10</v>
      </c>
      <c r="J35" s="129">
        <v>19</v>
      </c>
      <c r="K35" s="142">
        <f>IF($G$7="Pre-Birth",0%,MIN(100%,I35/J35))</f>
        <v>0.52631578947368418</v>
      </c>
      <c r="L35" s="129" t="s">
        <v>1440</v>
      </c>
    </row>
    <row r="36" spans="1:12">
      <c r="A36" s="130" t="s">
        <v>802</v>
      </c>
      <c r="B36" s="130" t="s">
        <v>223</v>
      </c>
      <c r="C36" s="130" t="s">
        <v>1705</v>
      </c>
      <c r="D36" s="130" t="s">
        <v>256</v>
      </c>
      <c r="E36" s="130" t="s">
        <v>861</v>
      </c>
      <c r="F36" s="130">
        <v>0</v>
      </c>
      <c r="G36" s="130">
        <v>0.57999999999999996</v>
      </c>
      <c r="H36" s="130">
        <v>0</v>
      </c>
      <c r="I36" s="130">
        <v>1100</v>
      </c>
      <c r="J36" s="130">
        <v>1400</v>
      </c>
      <c r="K36" s="143">
        <f>IF($G$7="Pre-Birth",0%,MIN(100%,I36/J36))</f>
        <v>0.7857142857142857</v>
      </c>
      <c r="L36" s="130" t="s">
        <v>1440</v>
      </c>
    </row>
    <row r="37" spans="1:12">
      <c r="A37" s="130" t="s">
        <v>222</v>
      </c>
      <c r="B37" s="130" t="s">
        <v>223</v>
      </c>
      <c r="C37" s="130" t="s">
        <v>1706</v>
      </c>
      <c r="D37" s="130" t="s">
        <v>65</v>
      </c>
      <c r="E37" s="130" t="s">
        <v>146</v>
      </c>
      <c r="F37" s="130">
        <v>0</v>
      </c>
      <c r="G37" s="130">
        <v>0.36</v>
      </c>
      <c r="H37" s="130">
        <v>0.04</v>
      </c>
      <c r="I37" s="130">
        <v>8</v>
      </c>
      <c r="J37" s="130">
        <v>12</v>
      </c>
      <c r="K37" s="143">
        <f>IF($G$7="Pre-Birth",0%,MIN(100%,I37/J37))</f>
        <v>0.66666666666666663</v>
      </c>
      <c r="L37" s="130" t="s">
        <v>1440</v>
      </c>
    </row>
    <row r="38" spans="1:12">
      <c r="A38" s="130" t="s">
        <v>225</v>
      </c>
      <c r="B38" s="130" t="s">
        <v>223</v>
      </c>
      <c r="C38" s="130" t="s">
        <v>1707</v>
      </c>
      <c r="D38" s="130" t="s">
        <v>65</v>
      </c>
      <c r="E38" s="130" t="s">
        <v>1475</v>
      </c>
      <c r="F38" s="130">
        <v>0.08</v>
      </c>
      <c r="G38" s="130">
        <v>0.36</v>
      </c>
      <c r="H38" s="130">
        <v>0</v>
      </c>
      <c r="I38" s="130">
        <v>350</v>
      </c>
      <c r="J38" s="130">
        <v>500</v>
      </c>
      <c r="K38" s="143">
        <f>IF($G$7="Pre-Birth",0%,MIN(100%,I38/J38))</f>
        <v>0.7</v>
      </c>
      <c r="L38" s="130" t="s">
        <v>1440</v>
      </c>
    </row>
    <row r="39" spans="1:12">
      <c r="A39" s="130" t="s">
        <v>227</v>
      </c>
      <c r="B39" s="130" t="s">
        <v>223</v>
      </c>
      <c r="C39" s="130" t="s">
        <v>1708</v>
      </c>
      <c r="D39" s="130" t="s">
        <v>65</v>
      </c>
      <c r="E39" s="130" t="s">
        <v>1475</v>
      </c>
      <c r="F39" s="130">
        <v>0.06</v>
      </c>
      <c r="G39" s="130">
        <v>0.22</v>
      </c>
      <c r="H39" s="130">
        <v>0.04</v>
      </c>
      <c r="I39" s="130">
        <v>600</v>
      </c>
      <c r="J39" s="130">
        <v>1500</v>
      </c>
      <c r="K39" s="143">
        <f>IF($G$7="Pre-Birth",0%,MIN(100%,I39/J39))</f>
        <v>0.4</v>
      </c>
      <c r="L39" s="130" t="s">
        <v>1440</v>
      </c>
    </row>
    <row r="40" spans="1:12">
      <c r="A40" s="130" t="s">
        <v>230</v>
      </c>
      <c r="B40" s="130" t="s">
        <v>223</v>
      </c>
      <c r="C40" s="130" t="s">
        <v>1709</v>
      </c>
      <c r="D40" s="130" t="s">
        <v>65</v>
      </c>
      <c r="E40" s="130" t="s">
        <v>227</v>
      </c>
      <c r="F40" s="130">
        <v>-0.04</v>
      </c>
      <c r="G40" s="130">
        <v>0.2</v>
      </c>
      <c r="H40" s="130">
        <v>0.06</v>
      </c>
      <c r="I40" s="130">
        <v>150</v>
      </c>
      <c r="J40" s="130">
        <v>250</v>
      </c>
      <c r="K40" s="143">
        <f>IF($G$7="Pre-Birth",0%,MIN(100%,I40/J40))</f>
        <v>0.6</v>
      </c>
      <c r="L40" s="130" t="s">
        <v>1440</v>
      </c>
    </row>
    <row r="41" spans="1:12">
      <c r="A41" s="130" t="s">
        <v>232</v>
      </c>
      <c r="B41" s="130" t="s">
        <v>223</v>
      </c>
      <c r="C41" s="130" t="s">
        <v>1710</v>
      </c>
      <c r="D41" s="130" t="s">
        <v>65</v>
      </c>
      <c r="E41" s="130" t="s">
        <v>230</v>
      </c>
      <c r="F41" s="130">
        <v>0</v>
      </c>
      <c r="G41" s="130">
        <v>0.1</v>
      </c>
      <c r="H41" s="130">
        <v>0.04</v>
      </c>
      <c r="I41" s="130">
        <v>400</v>
      </c>
      <c r="J41" s="130">
        <v>600</v>
      </c>
      <c r="K41" s="143">
        <f>IF($G$7="Pre-Birth",0%,MIN(100%,I41/J41))</f>
        <v>0.66666666666666663</v>
      </c>
      <c r="L41" s="130" t="s">
        <v>1440</v>
      </c>
    </row>
    <row r="42" spans="1:12">
      <c r="A42" s="130" t="s">
        <v>235</v>
      </c>
      <c r="B42" s="130" t="s">
        <v>223</v>
      </c>
      <c r="C42" s="130" t="s">
        <v>1711</v>
      </c>
      <c r="D42" s="130" t="s">
        <v>65</v>
      </c>
      <c r="E42" s="130" t="s">
        <v>232</v>
      </c>
      <c r="F42" s="130">
        <v>0.06</v>
      </c>
      <c r="G42" s="130">
        <v>0.06</v>
      </c>
      <c r="H42" s="130">
        <v>0</v>
      </c>
      <c r="I42" s="130">
        <v>100</v>
      </c>
      <c r="J42" s="130">
        <v>150</v>
      </c>
      <c r="K42" s="143">
        <f>IF($G$7="Pre-Birth",0%,MIN(100%,I42/J42))</f>
        <v>0.66666666666666663</v>
      </c>
      <c r="L42" s="130" t="s">
        <v>1440</v>
      </c>
    </row>
    <row r="43" spans="1:12">
      <c r="A43" s="130" t="s">
        <v>1712</v>
      </c>
      <c r="B43" s="130" t="s">
        <v>223</v>
      </c>
      <c r="C43" s="130" t="s">
        <v>1713</v>
      </c>
      <c r="D43" s="130" t="s">
        <v>65</v>
      </c>
      <c r="E43" s="130" t="s">
        <v>1450</v>
      </c>
      <c r="F43" s="130">
        <v>0.06</v>
      </c>
      <c r="G43" s="130">
        <v>0.14000000000000001</v>
      </c>
      <c r="H43" s="130">
        <v>-0.04</v>
      </c>
      <c r="I43" s="130">
        <v>70</v>
      </c>
      <c r="J43" s="130">
        <v>150</v>
      </c>
      <c r="K43" s="143">
        <f>IF($G$7="Pre-Birth",0%,MIN(100%,I43/J43))</f>
        <v>0.46666666666666667</v>
      </c>
      <c r="L43" s="130" t="s">
        <v>1440</v>
      </c>
    </row>
    <row r="44" spans="1:12">
      <c r="A44" s="130" t="s">
        <v>237</v>
      </c>
      <c r="B44" s="130" t="s">
        <v>223</v>
      </c>
      <c r="C44" s="130" t="s">
        <v>1714</v>
      </c>
      <c r="D44" s="130" t="s">
        <v>65</v>
      </c>
      <c r="E44" s="130" t="s">
        <v>230</v>
      </c>
      <c r="F44" s="130">
        <v>-0.04</v>
      </c>
      <c r="G44" s="130">
        <v>0.16</v>
      </c>
      <c r="H44" s="130">
        <v>0.02</v>
      </c>
      <c r="I44" s="130">
        <v>40</v>
      </c>
      <c r="J44" s="130">
        <v>100</v>
      </c>
      <c r="K44" s="143">
        <f>IF($G$7="Pre-Birth",0%,MIN(100%,I44/J44))</f>
        <v>0.4</v>
      </c>
      <c r="L44" s="130" t="s">
        <v>1440</v>
      </c>
    </row>
    <row r="45" spans="1:12">
      <c r="A45" s="130" t="s">
        <v>248</v>
      </c>
      <c r="B45" s="130" t="s">
        <v>223</v>
      </c>
      <c r="C45" s="130" t="s">
        <v>1715</v>
      </c>
      <c r="D45" s="130" t="s">
        <v>65</v>
      </c>
      <c r="E45" s="130" t="s">
        <v>1475</v>
      </c>
      <c r="F45" s="130">
        <v>-0.1</v>
      </c>
      <c r="G45" s="130">
        <v>0.24</v>
      </c>
      <c r="H45" s="130">
        <v>0</v>
      </c>
      <c r="I45" s="130">
        <v>50</v>
      </c>
      <c r="J45" s="130">
        <v>150</v>
      </c>
      <c r="K45" s="143">
        <f>IF($G$7="Pre-Birth",0%,MIN(100%,I45/J45))</f>
        <v>0.33333333333333331</v>
      </c>
      <c r="L45" s="130" t="s">
        <v>1440</v>
      </c>
    </row>
    <row r="46" spans="1:12">
      <c r="A46" s="130" t="s">
        <v>296</v>
      </c>
      <c r="B46" s="130" t="s">
        <v>223</v>
      </c>
      <c r="C46" s="130" t="s">
        <v>1716</v>
      </c>
      <c r="D46" s="130" t="s">
        <v>298</v>
      </c>
      <c r="E46" s="130" t="s">
        <v>861</v>
      </c>
      <c r="F46" s="130">
        <v>0.03</v>
      </c>
      <c r="G46" s="130">
        <v>0.56000000000000005</v>
      </c>
      <c r="H46" s="130">
        <v>0.08</v>
      </c>
      <c r="I46" s="130">
        <v>6</v>
      </c>
      <c r="J46" s="130">
        <v>7.5</v>
      </c>
      <c r="K46" s="143">
        <f>IF($G$7="Pre-Birth",0%,MIN(100%,I46/J46))</f>
        <v>0.8</v>
      </c>
      <c r="L46" s="130" t="s">
        <v>1440</v>
      </c>
    </row>
    <row r="47" spans="1:12">
      <c r="A47" s="130" t="s">
        <v>300</v>
      </c>
      <c r="B47" s="130" t="s">
        <v>223</v>
      </c>
      <c r="C47" s="130" t="s">
        <v>1717</v>
      </c>
      <c r="D47" s="130" t="s">
        <v>298</v>
      </c>
      <c r="E47" s="130" t="s">
        <v>861</v>
      </c>
      <c r="F47" s="130">
        <v>0.08</v>
      </c>
      <c r="G47" s="130">
        <v>0.54</v>
      </c>
      <c r="H47" s="130">
        <v>-0.02</v>
      </c>
      <c r="I47" s="130">
        <v>4</v>
      </c>
      <c r="J47" s="130">
        <v>6.5</v>
      </c>
      <c r="K47" s="143">
        <f>IF($G$7="Pre-Birth",0%,MIN(100%,I47/J47))</f>
        <v>0.61538461538461542</v>
      </c>
      <c r="L47" s="130" t="s">
        <v>1440</v>
      </c>
    </row>
    <row r="48" spans="1:12">
      <c r="A48" s="130" t="s">
        <v>250</v>
      </c>
      <c r="B48" s="130" t="s">
        <v>223</v>
      </c>
      <c r="C48" s="130" t="s">
        <v>1718</v>
      </c>
      <c r="D48" s="130" t="s">
        <v>1506</v>
      </c>
      <c r="E48" s="130" t="s">
        <v>146</v>
      </c>
      <c r="F48" s="130">
        <v>0</v>
      </c>
      <c r="G48" s="130">
        <v>0.4</v>
      </c>
      <c r="H48" s="130">
        <v>0.02</v>
      </c>
      <c r="I48" s="130">
        <v>35</v>
      </c>
      <c r="J48" s="130">
        <v>25</v>
      </c>
      <c r="K48" s="143">
        <f>IF($G$7="Pre-Birth",0%,MIN(100%,I48/J48))</f>
        <v>1</v>
      </c>
      <c r="L48" s="130" t="s">
        <v>1719</v>
      </c>
    </row>
    <row r="49" spans="1:12">
      <c r="A49" s="131" t="s">
        <v>1720</v>
      </c>
      <c r="B49" s="131" t="s">
        <v>309</v>
      </c>
      <c r="C49" s="131" t="s">
        <v>1721</v>
      </c>
      <c r="D49" s="131" t="s">
        <v>292</v>
      </c>
      <c r="E49" s="131" t="s">
        <v>1458</v>
      </c>
      <c r="F49" s="131">
        <v>0.06</v>
      </c>
      <c r="G49" s="131">
        <v>-0.22</v>
      </c>
      <c r="H49" s="131">
        <v>0.04</v>
      </c>
      <c r="I49" s="131">
        <v>200</v>
      </c>
      <c r="J49" s="131">
        <v>600</v>
      </c>
      <c r="K49" s="141">
        <f>IF($G$7="Pre-Birth",0%,MIN(100%,I49/J49))</f>
        <v>0.33333333333333331</v>
      </c>
      <c r="L49" s="131" t="s">
        <v>1440</v>
      </c>
    </row>
    <row r="50" spans="1:12">
      <c r="A50" s="131" t="s">
        <v>1722</v>
      </c>
      <c r="B50" s="131" t="s">
        <v>309</v>
      </c>
      <c r="C50" s="131" t="s">
        <v>1723</v>
      </c>
      <c r="D50" s="131" t="s">
        <v>292</v>
      </c>
      <c r="E50" s="131" t="s">
        <v>1458</v>
      </c>
      <c r="F50" s="131">
        <v>0.06</v>
      </c>
      <c r="G50" s="131">
        <v>-0.22</v>
      </c>
      <c r="H50" s="131">
        <v>-0.04</v>
      </c>
      <c r="I50" s="131">
        <v>180</v>
      </c>
      <c r="J50" s="131">
        <v>500</v>
      </c>
      <c r="K50" s="141">
        <f>IF($G$7="Pre-Birth",0%,MIN(100%,I50/J50))</f>
        <v>0.36</v>
      </c>
      <c r="L50" s="131" t="s">
        <v>1440</v>
      </c>
    </row>
    <row r="51" spans="1:12">
      <c r="A51" s="131" t="s">
        <v>354</v>
      </c>
      <c r="B51" s="131" t="s">
        <v>309</v>
      </c>
      <c r="C51" s="131" t="s">
        <v>1724</v>
      </c>
      <c r="D51" s="131" t="s">
        <v>292</v>
      </c>
      <c r="E51" s="131" t="s">
        <v>1455</v>
      </c>
      <c r="F51" s="131">
        <v>0.08</v>
      </c>
      <c r="G51" s="131">
        <v>-0.04</v>
      </c>
      <c r="H51" s="131">
        <v>-0.06</v>
      </c>
      <c r="I51" s="131">
        <v>150</v>
      </c>
      <c r="J51" s="131">
        <v>400</v>
      </c>
      <c r="K51" s="141">
        <f>IF($G$7="Pre-Birth",0%,MIN(100%,I51/J51))</f>
        <v>0.375</v>
      </c>
      <c r="L51" s="131" t="s">
        <v>1440</v>
      </c>
    </row>
    <row r="52" spans="1:12">
      <c r="A52" s="131" t="s">
        <v>360</v>
      </c>
      <c r="B52" s="131" t="s">
        <v>309</v>
      </c>
      <c r="C52" s="131" t="s">
        <v>1725</v>
      </c>
      <c r="D52" s="131" t="s">
        <v>292</v>
      </c>
      <c r="E52" s="131" t="s">
        <v>1690</v>
      </c>
      <c r="F52" s="131">
        <v>0.06</v>
      </c>
      <c r="G52" s="131">
        <v>-0.42</v>
      </c>
      <c r="H52" s="131">
        <v>-0.02</v>
      </c>
      <c r="I52" s="131">
        <v>80</v>
      </c>
      <c r="J52" s="131">
        <v>250</v>
      </c>
      <c r="K52" s="141">
        <f>IF($G$7="Pre-Birth",0%,MIN(100%,I52/J52))</f>
        <v>0.32</v>
      </c>
      <c r="L52" s="131" t="s">
        <v>1440</v>
      </c>
    </row>
    <row r="53" spans="1:12">
      <c r="A53" s="131" t="s">
        <v>1483</v>
      </c>
      <c r="B53" s="131" t="s">
        <v>309</v>
      </c>
      <c r="C53" s="131" t="s">
        <v>1726</v>
      </c>
      <c r="D53" s="131" t="s">
        <v>292</v>
      </c>
      <c r="E53" s="131" t="s">
        <v>1450</v>
      </c>
      <c r="F53" s="131">
        <v>0</v>
      </c>
      <c r="G53" s="131">
        <v>0.15</v>
      </c>
      <c r="H53" s="131">
        <v>0.04</v>
      </c>
      <c r="I53" s="131">
        <v>200</v>
      </c>
      <c r="J53" s="131">
        <v>500</v>
      </c>
      <c r="K53" s="141">
        <f>IF($G$7="Pre-Birth",0%,MIN(100%,I53/J53))</f>
        <v>0.4</v>
      </c>
      <c r="L53" s="131" t="s">
        <v>1440</v>
      </c>
    </row>
    <row r="54" spans="1:12">
      <c r="A54" s="131" t="s">
        <v>318</v>
      </c>
      <c r="B54" s="131" t="s">
        <v>309</v>
      </c>
      <c r="C54" s="131" t="s">
        <v>1727</v>
      </c>
      <c r="D54" s="131" t="s">
        <v>292</v>
      </c>
      <c r="E54" s="131" t="s">
        <v>146</v>
      </c>
      <c r="F54" s="131">
        <v>0.08</v>
      </c>
      <c r="G54" s="131">
        <v>0.38</v>
      </c>
      <c r="H54" s="131">
        <v>0.06</v>
      </c>
      <c r="I54" s="131">
        <v>80</v>
      </c>
      <c r="J54" s="131">
        <v>300</v>
      </c>
      <c r="K54" s="141">
        <f>IF($G$7="Pre-Birth",0%,MIN(100%,I54/J54))</f>
        <v>0.26666666666666666</v>
      </c>
      <c r="L54" s="131" t="s">
        <v>1440</v>
      </c>
    </row>
    <row r="55" spans="1:12">
      <c r="A55" s="131" t="s">
        <v>330</v>
      </c>
      <c r="B55" s="131" t="s">
        <v>309</v>
      </c>
      <c r="C55" s="131" t="s">
        <v>1728</v>
      </c>
      <c r="D55" s="131" t="s">
        <v>292</v>
      </c>
      <c r="E55" s="131" t="s">
        <v>1450</v>
      </c>
      <c r="F55" s="131">
        <v>0.1</v>
      </c>
      <c r="G55" s="131">
        <v>0.3</v>
      </c>
      <c r="H55" s="131">
        <v>-0.04</v>
      </c>
      <c r="I55" s="131">
        <v>100</v>
      </c>
      <c r="J55" s="131">
        <v>350</v>
      </c>
      <c r="K55" s="141">
        <f>IF($G$7="Pre-Birth",0%,MIN(100%,I55/J55))</f>
        <v>0.2857142857142857</v>
      </c>
      <c r="L55" s="131" t="s">
        <v>1440</v>
      </c>
    </row>
    <row r="56" spans="1:12">
      <c r="A56" s="131" t="s">
        <v>1729</v>
      </c>
      <c r="B56" s="131" t="s">
        <v>309</v>
      </c>
      <c r="C56" s="131" t="s">
        <v>1730</v>
      </c>
      <c r="D56" s="131" t="s">
        <v>292</v>
      </c>
      <c r="E56" s="131" t="s">
        <v>1461</v>
      </c>
      <c r="F56" s="131">
        <v>0.14000000000000001</v>
      </c>
      <c r="G56" s="131">
        <v>0.42</v>
      </c>
      <c r="H56" s="131">
        <v>0</v>
      </c>
      <c r="I56" s="131">
        <v>60</v>
      </c>
      <c r="J56" s="131">
        <v>200</v>
      </c>
      <c r="K56" s="141">
        <f>IF($G$7="Pre-Birth",0%,MIN(100%,I56/J56))</f>
        <v>0.3</v>
      </c>
      <c r="L56" s="131" t="s">
        <v>1440</v>
      </c>
    </row>
    <row r="57" spans="1:12">
      <c r="A57" s="131" t="s">
        <v>334</v>
      </c>
      <c r="B57" s="131" t="s">
        <v>309</v>
      </c>
      <c r="C57" s="131" t="s">
        <v>1731</v>
      </c>
      <c r="D57" s="131" t="s">
        <v>292</v>
      </c>
      <c r="E57" s="131" t="s">
        <v>1464</v>
      </c>
      <c r="F57" s="131">
        <v>0.14000000000000001</v>
      </c>
      <c r="G57" s="131">
        <v>0.32</v>
      </c>
      <c r="H57" s="131">
        <v>0.02</v>
      </c>
      <c r="I57" s="131">
        <v>40</v>
      </c>
      <c r="J57" s="131">
        <v>150</v>
      </c>
      <c r="K57" s="141">
        <f>IF($G$7="Pre-Birth",0%,MIN(100%,I57/J57))</f>
        <v>0.26666666666666666</v>
      </c>
      <c r="L57" s="131" t="s">
        <v>1440</v>
      </c>
    </row>
    <row r="58" spans="1:12">
      <c r="A58" s="131" t="s">
        <v>336</v>
      </c>
      <c r="B58" s="131" t="s">
        <v>309</v>
      </c>
      <c r="C58" s="131" t="s">
        <v>1732</v>
      </c>
      <c r="D58" s="131" t="s">
        <v>292</v>
      </c>
      <c r="E58" s="131" t="s">
        <v>1464</v>
      </c>
      <c r="F58" s="131">
        <v>0.14000000000000001</v>
      </c>
      <c r="G58" s="131">
        <v>0.32</v>
      </c>
      <c r="H58" s="131">
        <v>-0.02</v>
      </c>
      <c r="I58" s="131">
        <v>50</v>
      </c>
      <c r="J58" s="131">
        <v>180</v>
      </c>
      <c r="K58" s="141">
        <f>IF($G$7="Pre-Birth",0%,MIN(100%,I58/J58))</f>
        <v>0.27777777777777779</v>
      </c>
      <c r="L58" s="131" t="s">
        <v>1440</v>
      </c>
    </row>
    <row r="59" spans="1:12">
      <c r="A59" s="154" t="s">
        <v>485</v>
      </c>
      <c r="B59" s="154" t="s">
        <v>1563</v>
      </c>
      <c r="C59" s="154" t="s">
        <v>1733</v>
      </c>
      <c r="D59" s="154" t="s">
        <v>1553</v>
      </c>
      <c r="E59" s="154" t="s">
        <v>861</v>
      </c>
      <c r="F59" s="154">
        <v>0</v>
      </c>
      <c r="G59" s="154">
        <v>0.6</v>
      </c>
      <c r="H59" s="154">
        <v>0.02</v>
      </c>
      <c r="I59" s="154">
        <v>950</v>
      </c>
      <c r="J59" s="154">
        <v>1200</v>
      </c>
      <c r="K59" s="155">
        <f>IF($G$7="Pre-Birth",0%,MIN(100%,I59/J59))</f>
        <v>0.79166666666666663</v>
      </c>
      <c r="L59" s="154" t="s">
        <v>1440</v>
      </c>
    </row>
    <row r="60" spans="1:12">
      <c r="A60" s="154" t="s">
        <v>258</v>
      </c>
      <c r="B60" s="154" t="s">
        <v>1563</v>
      </c>
      <c r="C60" s="154" t="s">
        <v>1734</v>
      </c>
      <c r="D60" s="154" t="s">
        <v>292</v>
      </c>
      <c r="E60" s="154" t="s">
        <v>861</v>
      </c>
      <c r="F60" s="154">
        <v>0</v>
      </c>
      <c r="G60" s="154">
        <v>0.52</v>
      </c>
      <c r="H60" s="154">
        <v>-0.06</v>
      </c>
      <c r="I60" s="154">
        <v>100</v>
      </c>
      <c r="J60" s="154">
        <v>150</v>
      </c>
      <c r="K60" s="155">
        <f>IF($G$7="Pre-Birth",0%,MIN(100%,I60/J60))</f>
        <v>0.66666666666666663</v>
      </c>
      <c r="L60" s="154" t="s">
        <v>1440</v>
      </c>
    </row>
    <row r="61" spans="1:12">
      <c r="A61" s="154" t="s">
        <v>260</v>
      </c>
      <c r="B61" s="154" t="s">
        <v>1563</v>
      </c>
      <c r="C61" s="154" t="s">
        <v>1735</v>
      </c>
      <c r="D61" s="154" t="s">
        <v>65</v>
      </c>
      <c r="E61" s="154" t="s">
        <v>861</v>
      </c>
      <c r="F61" s="154">
        <v>0</v>
      </c>
      <c r="G61" s="154">
        <v>0.5</v>
      </c>
      <c r="H61" s="154">
        <v>-0.02</v>
      </c>
      <c r="I61" s="154">
        <v>20</v>
      </c>
      <c r="J61" s="154">
        <v>25</v>
      </c>
      <c r="K61" s="155">
        <f>IF($G$7="Pre-Birth",0%,MIN(100%,I61/J61))</f>
        <v>0.8</v>
      </c>
      <c r="L61" s="154" t="s">
        <v>971</v>
      </c>
    </row>
    <row r="62" spans="1:12">
      <c r="A62" s="154" t="s">
        <v>262</v>
      </c>
      <c r="B62" s="154" t="s">
        <v>1563</v>
      </c>
      <c r="C62" s="154" t="s">
        <v>1736</v>
      </c>
      <c r="D62" s="154" t="s">
        <v>292</v>
      </c>
      <c r="E62" s="154" t="s">
        <v>1450</v>
      </c>
      <c r="F62" s="154">
        <v>0</v>
      </c>
      <c r="G62" s="154">
        <v>0.28000000000000003</v>
      </c>
      <c r="H62" s="154">
        <v>-0.02</v>
      </c>
      <c r="I62" s="154">
        <v>30</v>
      </c>
      <c r="J62" s="154">
        <v>45</v>
      </c>
      <c r="K62" s="155">
        <f>IF($G$7="Pre-Birth",0%,MIN(100%,I62/J62))</f>
        <v>0.66666666666666663</v>
      </c>
      <c r="L62" s="154" t="s">
        <v>1440</v>
      </c>
    </row>
    <row r="63" spans="1:12">
      <c r="A63" s="154" t="s">
        <v>1554</v>
      </c>
      <c r="B63" s="154" t="s">
        <v>1563</v>
      </c>
      <c r="C63" s="154" t="s">
        <v>1737</v>
      </c>
      <c r="D63" s="154" t="s">
        <v>1553</v>
      </c>
      <c r="E63" s="154" t="s">
        <v>485</v>
      </c>
      <c r="F63" s="154">
        <v>0</v>
      </c>
      <c r="G63" s="154">
        <v>0.64</v>
      </c>
      <c r="H63" s="154">
        <v>0.08</v>
      </c>
      <c r="I63" s="154">
        <v>150</v>
      </c>
      <c r="J63" s="154">
        <v>300</v>
      </c>
      <c r="K63" s="155">
        <f>IF($G$7="Pre-Birth",0%,MIN(100%,I63/J63))</f>
        <v>0.5</v>
      </c>
      <c r="L63" s="154" t="s">
        <v>1440</v>
      </c>
    </row>
    <row r="65" spans="1:8">
      <c r="A65" s="156" t="s">
        <v>1738</v>
      </c>
      <c r="F65" s="149" t="s">
        <v>1739</v>
      </c>
    </row>
    <row r="66" spans="1:8">
      <c r="A66" s="157" t="s">
        <v>42</v>
      </c>
      <c r="B66" s="157" t="s">
        <v>1146</v>
      </c>
      <c r="C66" s="157" t="s">
        <v>1740</v>
      </c>
      <c r="D66" s="157" t="s">
        <v>1741</v>
      </c>
      <c r="E66" s="157" t="s">
        <v>562</v>
      </c>
      <c r="F66" s="1" t="s">
        <v>955</v>
      </c>
      <c r="G66" s="1" t="s">
        <v>1152</v>
      </c>
      <c r="H66" s="1" t="s">
        <v>1154</v>
      </c>
    </row>
    <row r="67" spans="1:8">
      <c r="A67" t="s">
        <v>62</v>
      </c>
      <c r="B67">
        <f>COUNTIF(B19:B63,"Skeleton")</f>
        <v>17</v>
      </c>
      <c r="C67" s="11">
        <f>AVERAGEIF(B19:B63,"Skeleton",K19:K63)</f>
        <v>0.58661645321634404</v>
      </c>
      <c r="D67">
        <f>SUMIF(B19:B63,"Skeleton",I19:I63)</f>
        <v>268</v>
      </c>
      <c r="E67" t="s">
        <v>1440</v>
      </c>
      <c r="F67" t="s">
        <v>833</v>
      </c>
      <c r="G67" t="s">
        <v>1742</v>
      </c>
      <c r="H67" t="s">
        <v>1743</v>
      </c>
    </row>
    <row r="68" spans="1:8">
      <c r="A68" t="s">
        <v>1511</v>
      </c>
      <c r="B68">
        <f>COUNTIF(B19:B63,"Organ")</f>
        <v>13</v>
      </c>
      <c r="C68" s="11">
        <f>AVERAGEIF(B19:B63,"Organ",K19:K63)</f>
        <v>0.62316145393068467</v>
      </c>
      <c r="D68">
        <f>SUMIF(B19:B63,"Organ",I19:I63)</f>
        <v>2913</v>
      </c>
      <c r="E68" t="s">
        <v>1440</v>
      </c>
      <c r="F68" t="s">
        <v>1744</v>
      </c>
      <c r="G68" t="s">
        <v>1745</v>
      </c>
      <c r="H68" t="s">
        <v>1160</v>
      </c>
    </row>
    <row r="69" spans="1:8">
      <c r="A69" t="s">
        <v>1512</v>
      </c>
      <c r="B69">
        <f>COUNTIF(B19:B63,"Muscle")</f>
        <v>10</v>
      </c>
      <c r="C69" s="11">
        <f>AVERAGEIF(B19:B63,"Muscle",K19:K63)</f>
        <v>0.31851587301587297</v>
      </c>
      <c r="D69">
        <f>SUMIF(B19:B63,"Muscle",I19:I63)</f>
        <v>1140</v>
      </c>
      <c r="E69" t="s">
        <v>1440</v>
      </c>
      <c r="F69" t="s">
        <v>1746</v>
      </c>
      <c r="G69" t="s">
        <v>719</v>
      </c>
      <c r="H69" t="s">
        <v>1747</v>
      </c>
    </row>
    <row r="70" spans="1:8">
      <c r="A70" t="s">
        <v>1563</v>
      </c>
      <c r="B70">
        <f>COUNTIF(B19:B63,"Neural")</f>
        <v>5</v>
      </c>
      <c r="C70" s="11">
        <f>AVERAGEIF(B19:B63,"Neural",K19:K63)</f>
        <v>0.68499999999999994</v>
      </c>
      <c r="D70">
        <f>SUMIF(B19:B63,"Neural",I19:I63)</f>
        <v>1250</v>
      </c>
      <c r="E70" t="s">
        <v>1440</v>
      </c>
      <c r="F70" t="s">
        <v>1748</v>
      </c>
      <c r="G70" t="s">
        <v>1553</v>
      </c>
      <c r="H70" t="s">
        <v>1749</v>
      </c>
    </row>
    <row r="71" spans="1:8">
      <c r="A71" s="1" t="s">
        <v>1148</v>
      </c>
      <c r="B71" s="1">
        <f>SUM(B67:B70)</f>
        <v>45</v>
      </c>
      <c r="C71" s="73">
        <f>AVERAGE(K19:K63)</f>
        <v>0.54852749635412179</v>
      </c>
      <c r="D71" s="1">
        <f>SUM(D67:D70)</f>
        <v>5571</v>
      </c>
      <c r="E71" s="1" t="s">
        <v>1750</v>
      </c>
    </row>
    <row r="73" spans="1:8">
      <c r="A73" s="158" t="s">
        <v>1751</v>
      </c>
    </row>
    <row r="74" spans="1:8">
      <c r="A74" s="1" t="s">
        <v>669</v>
      </c>
      <c r="B74" s="1" t="s">
        <v>1752</v>
      </c>
      <c r="C74" s="1" t="s">
        <v>1175</v>
      </c>
      <c r="D74" s="1" t="s">
        <v>1753</v>
      </c>
    </row>
    <row r="75" spans="1:8">
      <c r="A75" t="s">
        <v>1754</v>
      </c>
      <c r="B75" t="str">
        <f>IF($G$7="Pre-Birth","N/A",ROUND(75+($G$7-1)*6.25,0)&amp;" cm")</f>
        <v>70 cm</v>
      </c>
      <c r="C75" t="s">
        <v>1179</v>
      </c>
      <c r="D75" s="11">
        <f>$G$8</f>
        <v>0.4395</v>
      </c>
    </row>
    <row r="76" spans="1:8">
      <c r="A76" t="s">
        <v>1755</v>
      </c>
      <c r="B76" t="str">
        <f>IF($G$7="Pre-Birth","N/A",ROUND(10+($G$7-1)*2.73,1)&amp;" kg")</f>
        <v>7.8 kg</v>
      </c>
      <c r="C76" t="s">
        <v>1183</v>
      </c>
      <c r="D76" s="11">
        <f>$G$9</f>
        <v>6.5000000000000002E-2</v>
      </c>
    </row>
    <row r="77" spans="1:8">
      <c r="A77" t="s">
        <v>1756</v>
      </c>
      <c r="B77" t="str">
        <f>IF($G$7="Pre-Birth","N/A",ROUND(950+($G$7-1)*37.5,0)&amp;" g")</f>
        <v>920 g</v>
      </c>
      <c r="C77" t="s">
        <v>1757</v>
      </c>
      <c r="D77" s="11">
        <f>IF($G$7="Pre-Birth",0%,MIN(100%,(950+($G$7-1)*37.5)/1400))</f>
        <v>0.65714285714285714</v>
      </c>
    </row>
    <row r="78" spans="1:8">
      <c r="A78" t="s">
        <v>1758</v>
      </c>
      <c r="B78" t="str">
        <f>IF($G$7="Pre-Birth","N/A",ROUND(C71*100,0)&amp;"%")</f>
        <v>55%</v>
      </c>
      <c r="C78" s="11">
        <v>1</v>
      </c>
      <c r="D78" s="11">
        <f>C71</f>
        <v>0.54852749635412179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FED9-E4C1-46BF-BF2B-9407FD550817}">
  <dimension ref="A1:L65"/>
  <sheetViews>
    <sheetView workbookViewId="0">
      <selection sqref="A1:L1"/>
    </sheetView>
  </sheetViews>
  <sheetFormatPr defaultRowHeight="15"/>
  <cols>
    <col min="1" max="1" width="34.28515625" customWidth="1"/>
    <col min="2" max="2" width="19" customWidth="1"/>
    <col min="3" max="3" width="15.28515625" customWidth="1"/>
    <col min="4" max="4" width="19" customWidth="1"/>
    <col min="5" max="6" width="22.85546875" customWidth="1"/>
    <col min="7" max="7" width="15.28515625" customWidth="1"/>
    <col min="8" max="8" width="28.5703125" customWidth="1"/>
    <col min="9" max="9" width="19" customWidth="1"/>
    <col min="10" max="10" width="15.28515625" customWidth="1"/>
    <col min="11" max="11" width="19" customWidth="1"/>
    <col min="12" max="12" width="15.28515625" customWidth="1"/>
  </cols>
  <sheetData>
    <row r="1" spans="1:12" ht="21">
      <c r="A1" s="349" t="s">
        <v>1759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</row>
    <row r="3" spans="1:12">
      <c r="A3" s="159" t="s">
        <v>559</v>
      </c>
      <c r="B3" s="160"/>
      <c r="C3" s="160"/>
      <c r="D3" s="160"/>
      <c r="F3" s="88" t="s">
        <v>1760</v>
      </c>
      <c r="G3" s="61"/>
      <c r="H3" s="61"/>
    </row>
    <row r="4" spans="1:12">
      <c r="A4" s="161" t="s">
        <v>591</v>
      </c>
      <c r="B4" s="161" t="s">
        <v>592</v>
      </c>
      <c r="C4" s="161" t="s">
        <v>593</v>
      </c>
      <c r="D4" s="161" t="s">
        <v>504</v>
      </c>
      <c r="F4" s="161" t="s">
        <v>669</v>
      </c>
      <c r="G4" s="161" t="s">
        <v>592</v>
      </c>
      <c r="H4" s="161" t="s">
        <v>562</v>
      </c>
    </row>
    <row r="5" spans="1:12">
      <c r="A5" t="s">
        <v>48</v>
      </c>
      <c r="B5">
        <f>'DNA Loop Engine'!B5</f>
        <v>50</v>
      </c>
      <c r="C5" t="s">
        <v>668</v>
      </c>
      <c r="D5" t="s">
        <v>1761</v>
      </c>
      <c r="F5" t="s">
        <v>1650</v>
      </c>
      <c r="G5" s="11">
        <f>AVERAGE(L14:L18)</f>
        <v>0.44901960784313727</v>
      </c>
      <c r="H5" t="str">
        <f>IF(G5&lt;0.1,"⏳ Dormant",IF(G5&lt;0.5,"🔄 Emerging",IF(G5&lt;0.8,"🟢 Active","✅ Mature")))</f>
        <v>🔄 Emerging</v>
      </c>
    </row>
    <row r="6" spans="1:12">
      <c r="A6" t="s">
        <v>1522</v>
      </c>
      <c r="B6">
        <f>MAX(0,B5-40)</f>
        <v>10</v>
      </c>
      <c r="C6" t="s">
        <v>668</v>
      </c>
      <c r="D6" t="s">
        <v>1762</v>
      </c>
      <c r="F6" t="s">
        <v>1651</v>
      </c>
      <c r="G6" s="11">
        <f>AVERAGE(L19:L24)</f>
        <v>0.54166666666666674</v>
      </c>
      <c r="H6" t="str">
        <f>IF(G6&lt;0.1,"⏳ Pre-verbal",IF(G6&lt;0.5,"🔄 Babbling",IF(G6&lt;0.8,"🟢 Speaking","✅ Fluent")))</f>
        <v>🟢 Speaking</v>
      </c>
    </row>
    <row r="7" spans="1:12">
      <c r="A7" t="s">
        <v>1526</v>
      </c>
      <c r="B7">
        <f>IF(B5&lt;40,"Pre-Birth",ROUND(B6/52,1))</f>
        <v>0.2</v>
      </c>
      <c r="C7" t="s">
        <v>1655</v>
      </c>
      <c r="D7" t="s">
        <v>1527</v>
      </c>
      <c r="F7" t="s">
        <v>679</v>
      </c>
      <c r="G7" s="11">
        <f>G6*B8</f>
        <v>0.54166666666666674</v>
      </c>
      <c r="H7" t="str">
        <f>IF(G7&lt;0.1,"⏳ Silent",IF(G7&lt;0.3,"🔄 Vocalizing",IF(G7&lt;0.6,"🟢 Talking","✅ Articulate")))</f>
        <v>🟢 Talking</v>
      </c>
    </row>
    <row r="8" spans="1:12">
      <c r="A8" t="s">
        <v>534</v>
      </c>
      <c r="B8" s="6">
        <f>'DNA Loop Engine'!B19</f>
        <v>1</v>
      </c>
      <c r="C8" t="s">
        <v>653</v>
      </c>
      <c r="D8" t="s">
        <v>1761</v>
      </c>
      <c r="F8" t="s">
        <v>680</v>
      </c>
      <c r="G8" s="11">
        <f>G6*B9</f>
        <v>0.54166666666666674</v>
      </c>
      <c r="H8" t="str">
        <f>IF(G8&lt;0.1,"⏳ None",IF(G8&lt;0.3,"🔄 Basic",IF(G8&lt;0.6,"🟢 Good","✅ Excellent")))</f>
        <v>🟢 Good</v>
      </c>
    </row>
    <row r="9" spans="1:12">
      <c r="A9" t="s">
        <v>1560</v>
      </c>
      <c r="B9" s="11">
        <f>AVERAGE('Sensory Integration'!L2:L16)</f>
        <v>1</v>
      </c>
      <c r="C9" t="s">
        <v>653</v>
      </c>
      <c r="D9" t="s">
        <v>1763</v>
      </c>
      <c r="F9" t="s">
        <v>681</v>
      </c>
      <c r="G9">
        <f>L15*100</f>
        <v>58.333333333333336</v>
      </c>
      <c r="H9" t="str">
        <f>IF(G9&lt;10,"⏳ Minimal",IF(G9&lt;40,"🔄 Short-term",IF(G9&lt;70,"🟢 Developing","✅ Full")))</f>
        <v>🟢 Developing</v>
      </c>
    </row>
    <row r="10" spans="1:12">
      <c r="A10" t="s">
        <v>1530</v>
      </c>
      <c r="B10" t="str">
        <f>IF(B5&lt;40,"🔄 GESTATING",IF(B7&lt;1,"🍼 Infant",IF(B7&lt;3,"🧒 Toddler",IF(B7&lt;6,"👦 Early Childhood",IF(B7&lt;12,"🎒 Middle Childhood","🧑 Adolescent")))))</f>
        <v>🍼 Infant</v>
      </c>
      <c r="D10" t="s">
        <v>1764</v>
      </c>
      <c r="F10" t="s">
        <v>682</v>
      </c>
      <c r="G10" s="11">
        <f>AVERAGE(L14,L17)</f>
        <v>0.37254901960784315</v>
      </c>
      <c r="H10" t="str">
        <f>IF(G10&lt;0.1,"⏳ Reflexive",IF(G10&lt;0.4,"🔄 Intuitive",IF(G10&lt;0.7,"🟢 Logical","✅ Abstract")))</f>
        <v>🔄 Intuitive</v>
      </c>
    </row>
    <row r="12" spans="1:12">
      <c r="A12" s="162" t="s">
        <v>1765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161" t="s">
        <v>41</v>
      </c>
      <c r="B13" s="161" t="s">
        <v>1517</v>
      </c>
      <c r="C13" s="161" t="s">
        <v>452</v>
      </c>
      <c r="D13" s="161" t="s">
        <v>453</v>
      </c>
      <c r="E13" s="161" t="s">
        <v>1518</v>
      </c>
      <c r="F13" s="161" t="s">
        <v>1766</v>
      </c>
      <c r="G13" s="161" t="s">
        <v>1767</v>
      </c>
      <c r="H13" s="161" t="s">
        <v>1548</v>
      </c>
      <c r="I13" s="161" t="s">
        <v>47</v>
      </c>
      <c r="J13" s="161" t="s">
        <v>48</v>
      </c>
      <c r="K13" s="161" t="s">
        <v>562</v>
      </c>
      <c r="L13" s="161" t="s">
        <v>455</v>
      </c>
    </row>
    <row r="14" spans="1:12">
      <c r="A14" s="61" t="s">
        <v>1554</v>
      </c>
      <c r="B14" s="61" t="s">
        <v>1388</v>
      </c>
      <c r="C14" s="61">
        <v>40</v>
      </c>
      <c r="D14" s="61">
        <v>70</v>
      </c>
      <c r="E14" s="61" t="s">
        <v>1555</v>
      </c>
      <c r="F14" s="61" t="s">
        <v>1560</v>
      </c>
      <c r="G14" s="61" t="s">
        <v>456</v>
      </c>
      <c r="H14" s="61" t="s">
        <v>1557</v>
      </c>
      <c r="I14" s="61" t="s">
        <v>1553</v>
      </c>
      <c r="J14">
        <f>$B$5</f>
        <v>50</v>
      </c>
      <c r="K14" t="str">
        <f>IF(J14&lt;C14,"⏳ Dormant",IF(J14&gt;=D14,"✅ Mature","🔄 Developing"))</f>
        <v>🔄 Developing</v>
      </c>
      <c r="L14" s="11">
        <f>IF(J14&lt;C14,0,IF(J14&gt;=D14,1,MIN(1,(J14-C14)/(D14-C14))))</f>
        <v>0.33333333333333331</v>
      </c>
    </row>
    <row r="15" spans="1:12">
      <c r="A15" s="61" t="s">
        <v>1558</v>
      </c>
      <c r="B15" s="61" t="s">
        <v>1388</v>
      </c>
      <c r="C15" s="61">
        <v>36</v>
      </c>
      <c r="D15" s="61">
        <v>60</v>
      </c>
      <c r="E15" s="61" t="s">
        <v>1559</v>
      </c>
      <c r="F15" s="61" t="s">
        <v>1560</v>
      </c>
      <c r="G15" s="61" t="s">
        <v>485</v>
      </c>
      <c r="H15" s="61" t="s">
        <v>1561</v>
      </c>
      <c r="I15" s="61" t="s">
        <v>1553</v>
      </c>
      <c r="J15">
        <f>$B$5</f>
        <v>50</v>
      </c>
      <c r="K15" t="str">
        <f>IF(J15&lt;C15,"⏳ Dormant",IF(J15&gt;=D15,"✅ Mature","🔄 Developing"))</f>
        <v>🔄 Developing</v>
      </c>
      <c r="L15" s="11">
        <f>IF(J15&lt;C15,0,IF(J15&gt;=D15,1,MIN(1,(J15-C15)/(D15-C15))))</f>
        <v>0.58333333333333337</v>
      </c>
    </row>
    <row r="16" spans="1:12">
      <c r="A16" s="61" t="s">
        <v>1562</v>
      </c>
      <c r="B16" s="61" t="s">
        <v>1388</v>
      </c>
      <c r="C16" s="61">
        <v>36</v>
      </c>
      <c r="D16" s="61">
        <v>60</v>
      </c>
      <c r="E16" s="61" t="s">
        <v>1768</v>
      </c>
      <c r="F16" s="61" t="s">
        <v>1565</v>
      </c>
      <c r="G16" s="61" t="s">
        <v>1397</v>
      </c>
      <c r="H16" s="61" t="s">
        <v>1552</v>
      </c>
      <c r="I16" s="61" t="s">
        <v>1553</v>
      </c>
      <c r="J16">
        <f>$B$5</f>
        <v>50</v>
      </c>
      <c r="K16" t="str">
        <f>IF(J16&lt;C16,"⏳ Dormant",IF(J16&gt;=D16,"✅ Mature","🔄 Developing"))</f>
        <v>🔄 Developing</v>
      </c>
      <c r="L16" s="11">
        <f>IF(J16&lt;C16,0,IF(J16&gt;=D16,1,MIN(1,(J16-C16)/(D16-C16))))</f>
        <v>0.58333333333333337</v>
      </c>
    </row>
    <row r="17" spans="1:12">
      <c r="A17" s="61" t="s">
        <v>1397</v>
      </c>
      <c r="B17" s="61" t="s">
        <v>1388</v>
      </c>
      <c r="C17" s="61">
        <v>36</v>
      </c>
      <c r="D17" s="61">
        <v>70</v>
      </c>
      <c r="E17" s="61" t="s">
        <v>1769</v>
      </c>
      <c r="F17" s="61" t="s">
        <v>1565</v>
      </c>
      <c r="G17" s="61" t="s">
        <v>1554</v>
      </c>
      <c r="H17" s="61" t="s">
        <v>1552</v>
      </c>
      <c r="I17" s="61" t="s">
        <v>1553</v>
      </c>
      <c r="J17">
        <f>$B$5</f>
        <v>50</v>
      </c>
      <c r="K17" t="str">
        <f>IF(J17&lt;C17,"⏳ Dormant",IF(J17&gt;=D17,"✅ Mature","🔄 Developing"))</f>
        <v>🔄 Developing</v>
      </c>
      <c r="L17" s="11">
        <f>IF(J17&lt;C17,0,IF(J17&gt;=D17,1,MIN(1,(J17-C17)/(D17-C17))))</f>
        <v>0.41176470588235292</v>
      </c>
    </row>
    <row r="18" spans="1:12">
      <c r="A18" s="61" t="s">
        <v>1770</v>
      </c>
      <c r="B18" s="61" t="s">
        <v>1388</v>
      </c>
      <c r="C18" s="61">
        <v>40</v>
      </c>
      <c r="D18" s="61">
        <v>70</v>
      </c>
      <c r="E18" s="61" t="s">
        <v>1771</v>
      </c>
      <c r="F18" s="61" t="s">
        <v>1772</v>
      </c>
      <c r="G18" s="61" t="s">
        <v>1773</v>
      </c>
      <c r="H18" s="61" t="s">
        <v>1774</v>
      </c>
      <c r="I18" s="61" t="s">
        <v>1553</v>
      </c>
      <c r="J18">
        <f>$B$5</f>
        <v>50</v>
      </c>
      <c r="K18" t="str">
        <f>IF(J18&lt;C18,"⏳ Dormant",IF(J18&gt;=D18,"✅ Mature","🔄 Developing"))</f>
        <v>🔄 Developing</v>
      </c>
      <c r="L18" s="11">
        <f>IF(J18&lt;C18,0,IF(J18&gt;=D18,1,MIN(1,(J18-C18)/(D18-C18))))</f>
        <v>0.33333333333333331</v>
      </c>
    </row>
    <row r="19" spans="1:12">
      <c r="A19" s="55" t="s">
        <v>1775</v>
      </c>
      <c r="B19" s="55" t="s">
        <v>1776</v>
      </c>
      <c r="C19" s="55">
        <v>40</v>
      </c>
      <c r="D19" s="55">
        <v>60</v>
      </c>
      <c r="E19" s="55" t="s">
        <v>1777</v>
      </c>
      <c r="F19" s="55" t="s">
        <v>1551</v>
      </c>
      <c r="G19" s="55" t="s">
        <v>456</v>
      </c>
      <c r="H19" s="55" t="s">
        <v>1778</v>
      </c>
      <c r="I19" s="55" t="s">
        <v>1779</v>
      </c>
      <c r="J19">
        <f>$B$5</f>
        <v>50</v>
      </c>
      <c r="K19" t="str">
        <f>IF(J19&lt;C19,"⏳ Dormant",IF(J19&gt;=D19,"✅ Mature","🔄 Developing"))</f>
        <v>🔄 Developing</v>
      </c>
      <c r="L19" s="11">
        <f>IF(J19&lt;C19,0,IF(J19&gt;=D19,1,MIN(1,(J19-C19)/(D19-C19))))</f>
        <v>0.5</v>
      </c>
    </row>
    <row r="20" spans="1:12">
      <c r="A20" s="55" t="s">
        <v>1780</v>
      </c>
      <c r="B20" s="55" t="s">
        <v>1776</v>
      </c>
      <c r="C20" s="55">
        <v>40</v>
      </c>
      <c r="D20" s="55">
        <v>60</v>
      </c>
      <c r="E20" s="55" t="s">
        <v>1781</v>
      </c>
      <c r="F20" s="55" t="s">
        <v>1551</v>
      </c>
      <c r="G20" s="55" t="s">
        <v>485</v>
      </c>
      <c r="H20" s="55" t="s">
        <v>1782</v>
      </c>
      <c r="I20" s="55" t="s">
        <v>1779</v>
      </c>
      <c r="J20">
        <f>$B$5</f>
        <v>50</v>
      </c>
      <c r="K20" t="str">
        <f>IF(J20&lt;C20,"⏳ Dormant",IF(J20&gt;=D20,"✅ Mature","🔄 Developing"))</f>
        <v>🔄 Developing</v>
      </c>
      <c r="L20" s="11">
        <f>IF(J20&lt;C20,0,IF(J20&gt;=D20,1,MIN(1,(J20-C20)/(D20-C20))))</f>
        <v>0.5</v>
      </c>
    </row>
    <row r="21" spans="1:12">
      <c r="A21" s="55" t="s">
        <v>1383</v>
      </c>
      <c r="B21" s="55" t="s">
        <v>623</v>
      </c>
      <c r="C21" s="55">
        <v>36</v>
      </c>
      <c r="D21" s="55">
        <v>60</v>
      </c>
      <c r="E21" s="55" t="s">
        <v>1783</v>
      </c>
      <c r="F21" s="55" t="s">
        <v>1570</v>
      </c>
      <c r="G21" s="55" t="s">
        <v>1780</v>
      </c>
      <c r="H21" s="55" t="s">
        <v>1568</v>
      </c>
      <c r="I21" s="55" t="s">
        <v>298</v>
      </c>
      <c r="J21">
        <f>$B$5</f>
        <v>50</v>
      </c>
      <c r="K21" t="str">
        <f>IF(J21&lt;C21,"⏳ Dormant",IF(J21&gt;=D21,"✅ Mature","🔄 Developing"))</f>
        <v>🔄 Developing</v>
      </c>
      <c r="L21" s="11">
        <f>IF(J21&lt;C21,0,IF(J21&gt;=D21,1,MIN(1,(J21-C21)/(D21-C21))))</f>
        <v>0.58333333333333337</v>
      </c>
    </row>
    <row r="22" spans="1:12">
      <c r="A22" s="64" t="s">
        <v>923</v>
      </c>
      <c r="B22" s="64" t="s">
        <v>623</v>
      </c>
      <c r="C22" s="64">
        <v>36</v>
      </c>
      <c r="D22" s="64">
        <v>60</v>
      </c>
      <c r="E22" s="64" t="s">
        <v>1784</v>
      </c>
      <c r="F22" s="64" t="s">
        <v>1567</v>
      </c>
      <c r="G22" s="64" t="s">
        <v>1775</v>
      </c>
      <c r="H22" s="64" t="s">
        <v>1568</v>
      </c>
      <c r="I22" s="64" t="s">
        <v>298</v>
      </c>
      <c r="J22">
        <f>$B$5</f>
        <v>50</v>
      </c>
      <c r="K22" t="str">
        <f>IF(J22&lt;C22,"⏳ Dormant",IF(J22&gt;=D22,"✅ Mature","🔄 Developing"))</f>
        <v>🔄 Developing</v>
      </c>
      <c r="L22" s="11">
        <f>IF(J22&lt;C22,0,IF(J22&gt;=D22,1,MIN(1,(J22-C22)/(D22-C22))))</f>
        <v>0.58333333333333337</v>
      </c>
    </row>
    <row r="23" spans="1:12">
      <c r="A23" s="64" t="s">
        <v>1785</v>
      </c>
      <c r="B23" s="64" t="s">
        <v>1364</v>
      </c>
      <c r="C23" s="64">
        <v>40</v>
      </c>
      <c r="D23" s="64">
        <v>60</v>
      </c>
      <c r="E23" s="64" t="s">
        <v>1786</v>
      </c>
      <c r="F23" s="64" t="s">
        <v>472</v>
      </c>
      <c r="G23" s="64" t="s">
        <v>1775</v>
      </c>
      <c r="H23" s="64" t="s">
        <v>1574</v>
      </c>
      <c r="I23" s="64" t="s">
        <v>65</v>
      </c>
      <c r="J23">
        <f>$B$5</f>
        <v>50</v>
      </c>
      <c r="K23" t="str">
        <f>IF(J23&lt;C23,"⏳ Dormant",IF(J23&gt;=D23,"✅ Mature","🔄 Developing"))</f>
        <v>🔄 Developing</v>
      </c>
      <c r="L23" s="11">
        <f>IF(J23&lt;C23,0,IF(J23&gt;=D23,1,MIN(1,(J23-C23)/(D23-C23))))</f>
        <v>0.5</v>
      </c>
    </row>
    <row r="24" spans="1:12">
      <c r="A24" s="64" t="s">
        <v>1787</v>
      </c>
      <c r="B24" s="64" t="s">
        <v>1364</v>
      </c>
      <c r="C24" s="64">
        <v>36</v>
      </c>
      <c r="D24" s="64">
        <v>60</v>
      </c>
      <c r="E24" s="64" t="s">
        <v>1788</v>
      </c>
      <c r="F24" s="64" t="s">
        <v>469</v>
      </c>
      <c r="G24" s="64" t="s">
        <v>456</v>
      </c>
      <c r="H24" s="64" t="s">
        <v>1576</v>
      </c>
      <c r="I24" s="64" t="s">
        <v>65</v>
      </c>
      <c r="J24">
        <f>$B$5</f>
        <v>50</v>
      </c>
      <c r="K24" t="str">
        <f>IF(J24&lt;C24,"⏳ Dormant",IF(J24&gt;=D24,"✅ Mature","🔄 Developing"))</f>
        <v>🔄 Developing</v>
      </c>
      <c r="L24" s="11">
        <f>IF(J24&lt;C24,0,IF(J24&gt;=D24,1,MIN(1,(J24-C24)/(D24-C24))))</f>
        <v>0.58333333333333337</v>
      </c>
    </row>
    <row r="26" spans="1:12">
      <c r="A26" s="163" t="s">
        <v>1789</v>
      </c>
      <c r="B26" s="55"/>
      <c r="C26" s="55"/>
      <c r="D26" s="55"/>
      <c r="E26" s="55"/>
      <c r="F26" s="55"/>
      <c r="H26" s="164" t="s">
        <v>1790</v>
      </c>
      <c r="I26" s="64"/>
      <c r="J26" s="64"/>
      <c r="K26" s="64"/>
      <c r="L26" s="64"/>
    </row>
    <row r="27" spans="1:12">
      <c r="A27" s="161" t="s">
        <v>1791</v>
      </c>
      <c r="B27" s="161" t="s">
        <v>1241</v>
      </c>
      <c r="C27" s="161" t="s">
        <v>703</v>
      </c>
      <c r="D27" s="161" t="s">
        <v>1792</v>
      </c>
      <c r="E27" s="161" t="s">
        <v>48</v>
      </c>
      <c r="F27" s="161" t="s">
        <v>562</v>
      </c>
      <c r="H27" s="161" t="s">
        <v>717</v>
      </c>
      <c r="I27" s="161" t="s">
        <v>718</v>
      </c>
      <c r="J27" s="161" t="s">
        <v>719</v>
      </c>
      <c r="K27" s="161" t="s">
        <v>1793</v>
      </c>
      <c r="L27" s="161" t="s">
        <v>562</v>
      </c>
    </row>
    <row r="28" spans="1:12">
      <c r="A28">
        <v>0</v>
      </c>
      <c r="B28" t="s">
        <v>1794</v>
      </c>
      <c r="C28" t="s">
        <v>1795</v>
      </c>
      <c r="D28">
        <v>40</v>
      </c>
      <c r="E28">
        <f>$B$5</f>
        <v>50</v>
      </c>
      <c r="F28" t="str">
        <f>IF(E28&gt;=D28,"✅ Achieved","⏳ Upcoming")</f>
        <v>✅ Achieved</v>
      </c>
      <c r="H28" t="s">
        <v>1796</v>
      </c>
      <c r="I28" t="s">
        <v>1797</v>
      </c>
      <c r="J28" t="s">
        <v>1558</v>
      </c>
      <c r="K28" t="s">
        <v>1798</v>
      </c>
      <c r="L28" t="str">
        <f>IF(AND(L15&gt;0.3,L14&gt;0.1),"🟢 FORMING","⏳ DORMANT")</f>
        <v>🟢 FORMING</v>
      </c>
    </row>
    <row r="29" spans="1:12">
      <c r="A29">
        <v>2</v>
      </c>
      <c r="B29" t="s">
        <v>1799</v>
      </c>
      <c r="C29" t="s">
        <v>1800</v>
      </c>
      <c r="D29">
        <v>48</v>
      </c>
      <c r="E29">
        <f>$B$5</f>
        <v>50</v>
      </c>
      <c r="F29" t="str">
        <f>IF(E29&gt;=D29,"✅ Achieved","⏳ Upcoming")</f>
        <v>✅ Achieved</v>
      </c>
      <c r="H29" t="s">
        <v>1801</v>
      </c>
      <c r="I29" t="s">
        <v>1558</v>
      </c>
      <c r="J29" t="s">
        <v>1554</v>
      </c>
      <c r="K29" t="s">
        <v>1802</v>
      </c>
      <c r="L29" t="str">
        <f>IF(AND(L15&gt;0.5,L14&gt;0.3),"🟢 ACTIVE",IF(L15&gt;0.3,"🟡 FORMING","⏳ DORMANT"))</f>
        <v>🟢 ACTIVE</v>
      </c>
    </row>
    <row r="30" spans="1:12">
      <c r="A30">
        <v>4</v>
      </c>
      <c r="B30" t="s">
        <v>1803</v>
      </c>
      <c r="C30" t="s">
        <v>1804</v>
      </c>
      <c r="D30">
        <v>56</v>
      </c>
      <c r="E30">
        <f>$B$5</f>
        <v>50</v>
      </c>
      <c r="F30" t="str">
        <f>IF(E30&gt;=D30,"✅ Achieved","⏳ Upcoming")</f>
        <v>⏳ Upcoming</v>
      </c>
      <c r="H30" t="s">
        <v>1805</v>
      </c>
      <c r="I30" t="s">
        <v>1562</v>
      </c>
      <c r="J30" t="s">
        <v>1554</v>
      </c>
      <c r="K30" t="s">
        <v>1806</v>
      </c>
      <c r="L30" t="str">
        <f>IF(AND(L16&gt;0.5,L14&gt;0.3),"🟢 ACTIVE",IF(L16&gt;0.3,"🟡 FORMING","⏳ DORMANT"))</f>
        <v>🟢 ACTIVE</v>
      </c>
    </row>
    <row r="31" spans="1:12">
      <c r="A31">
        <v>6</v>
      </c>
      <c r="B31" t="s">
        <v>1807</v>
      </c>
      <c r="C31" t="s">
        <v>1808</v>
      </c>
      <c r="D31">
        <v>64</v>
      </c>
      <c r="E31">
        <f>$B$5</f>
        <v>50</v>
      </c>
      <c r="F31" t="str">
        <f>IF(E31&gt;=D31,"✅ Achieved","⏳ Upcoming")</f>
        <v>⏳ Upcoming</v>
      </c>
      <c r="H31" t="s">
        <v>1809</v>
      </c>
      <c r="I31" t="s">
        <v>1383</v>
      </c>
      <c r="J31" t="s">
        <v>1780</v>
      </c>
      <c r="K31" t="s">
        <v>1810</v>
      </c>
      <c r="L31" t="str">
        <f>IF(AND(L21&gt;0.5,L20&gt;0.3),"🟢 ACTIVE",IF(L21&gt;0.3,"🟡 FORMING","⏳ DORMANT"))</f>
        <v>🟢 ACTIVE</v>
      </c>
    </row>
    <row r="32" spans="1:12">
      <c r="A32">
        <v>9</v>
      </c>
      <c r="B32" t="s">
        <v>1811</v>
      </c>
      <c r="C32" t="s">
        <v>1812</v>
      </c>
      <c r="D32">
        <v>76</v>
      </c>
      <c r="E32">
        <f>$B$5</f>
        <v>50</v>
      </c>
      <c r="F32" t="str">
        <f>IF(E32&gt;=D32,"✅ Achieved","⏳ Upcoming")</f>
        <v>⏳ Upcoming</v>
      </c>
      <c r="H32" t="s">
        <v>1813</v>
      </c>
      <c r="I32" t="s">
        <v>1780</v>
      </c>
      <c r="J32" t="s">
        <v>1775</v>
      </c>
      <c r="K32" t="s">
        <v>1814</v>
      </c>
      <c r="L32" t="str">
        <f>IF(AND(L20&gt;0.5,L19&gt;0.3),"🟢 ACTIVE",IF(L20&gt;0.3,"🟡 FORMING","⏳ DORMANT"))</f>
        <v>🟡 FORMING</v>
      </c>
    </row>
    <row r="33" spans="1:12">
      <c r="A33">
        <v>12</v>
      </c>
      <c r="B33" t="s">
        <v>1815</v>
      </c>
      <c r="C33" t="s">
        <v>1816</v>
      </c>
      <c r="D33">
        <v>92</v>
      </c>
      <c r="E33">
        <f>$B$5</f>
        <v>50</v>
      </c>
      <c r="F33" t="str">
        <f>IF(E33&gt;=D33,"✅ Achieved","⏳ Upcoming")</f>
        <v>⏳ Upcoming</v>
      </c>
      <c r="H33" t="s">
        <v>1817</v>
      </c>
      <c r="I33" t="s">
        <v>1775</v>
      </c>
      <c r="J33" t="s">
        <v>456</v>
      </c>
      <c r="K33" t="s">
        <v>1818</v>
      </c>
      <c r="L33" t="str">
        <f>IF(AND(L19&gt;0.5,L23&gt;0.3),"🟢 ACTIVE",IF(L19&gt;0.3,"🟡 FORMING","⏳ DORMANT"))</f>
        <v>🟡 FORMING</v>
      </c>
    </row>
    <row r="34" spans="1:12">
      <c r="A34">
        <v>18</v>
      </c>
      <c r="B34" t="s">
        <v>1819</v>
      </c>
      <c r="C34" t="s">
        <v>1820</v>
      </c>
      <c r="D34">
        <v>118</v>
      </c>
      <c r="E34">
        <f>$B$5</f>
        <v>50</v>
      </c>
      <c r="F34" t="str">
        <f>IF(E34&gt;=D34,"✅ Achieved","⏳ Upcoming")</f>
        <v>⏳ Upcoming</v>
      </c>
      <c r="H34" t="s">
        <v>1821</v>
      </c>
      <c r="I34" t="s">
        <v>923</v>
      </c>
      <c r="J34" t="s">
        <v>1775</v>
      </c>
      <c r="K34" t="s">
        <v>1822</v>
      </c>
      <c r="L34" t="str">
        <f>IF(AND(L22&gt;0.5,L19&gt;0.3),"🟢 ACTIVE",IF(L22&gt;0.3,"🟡 FORMING","⏳ DORMANT"))</f>
        <v>🟢 ACTIVE</v>
      </c>
    </row>
    <row r="35" spans="1:12">
      <c r="A35">
        <v>24</v>
      </c>
      <c r="B35" t="s">
        <v>1823</v>
      </c>
      <c r="C35" t="s">
        <v>1824</v>
      </c>
      <c r="D35">
        <v>144</v>
      </c>
      <c r="E35">
        <f>$B$5</f>
        <v>50</v>
      </c>
      <c r="F35" t="str">
        <f>IF(E35&gt;=D35,"✅ Achieved","⏳ Upcoming")</f>
        <v>⏳ Upcoming</v>
      </c>
      <c r="H35" t="s">
        <v>1825</v>
      </c>
      <c r="I35" t="s">
        <v>258</v>
      </c>
      <c r="J35" t="s">
        <v>456</v>
      </c>
      <c r="K35" t="s">
        <v>1826</v>
      </c>
      <c r="L35" t="str">
        <f>IF(AND(L24&gt;0.5,L23&gt;0.3),"🟢 ACTIVE",IF(L24&gt;0.3,"🟡 FORMING","⏳ DORMANT"))</f>
        <v>🟢 ACTIVE</v>
      </c>
    </row>
    <row r="36" spans="1:12">
      <c r="A36">
        <v>36</v>
      </c>
      <c r="B36" t="s">
        <v>1827</v>
      </c>
      <c r="C36" t="s">
        <v>1828</v>
      </c>
      <c r="D36">
        <v>196</v>
      </c>
      <c r="E36">
        <f>$B$5</f>
        <v>50</v>
      </c>
      <c r="F36" t="str">
        <f>IF(E36&gt;=D36,"✅ Achieved","⏳ Upcoming")</f>
        <v>⏳ Upcoming</v>
      </c>
    </row>
    <row r="37" spans="1:12">
      <c r="A37">
        <v>48</v>
      </c>
      <c r="B37" t="s">
        <v>1829</v>
      </c>
      <c r="C37" t="s">
        <v>1830</v>
      </c>
      <c r="D37">
        <v>248</v>
      </c>
      <c r="E37">
        <f>$B$5</f>
        <v>50</v>
      </c>
      <c r="F37" t="str">
        <f>IF(E37&gt;=D37,"✅ Achieved","⏳ Upcoming")</f>
        <v>⏳ Upcoming</v>
      </c>
    </row>
    <row r="38" spans="1:12">
      <c r="A38">
        <v>60</v>
      </c>
      <c r="B38" t="s">
        <v>1831</v>
      </c>
      <c r="C38" t="s">
        <v>1832</v>
      </c>
      <c r="D38">
        <v>300</v>
      </c>
      <c r="E38">
        <f>$B$5</f>
        <v>50</v>
      </c>
      <c r="F38" t="str">
        <f>IF(E38&gt;=D38,"✅ Achieved","⏳ Upcoming")</f>
        <v>⏳ Upcoming</v>
      </c>
    </row>
    <row r="40" spans="1:12">
      <c r="A40" s="88" t="s">
        <v>1833</v>
      </c>
      <c r="B40" s="61"/>
      <c r="C40" s="61"/>
      <c r="D40" s="61"/>
      <c r="E40" s="61"/>
      <c r="F40" s="61"/>
      <c r="H40" s="162" t="s">
        <v>1834</v>
      </c>
      <c r="I40" s="3"/>
      <c r="J40" s="3"/>
      <c r="K40" s="3"/>
      <c r="L40" s="3"/>
    </row>
    <row r="41" spans="1:12">
      <c r="A41" s="161" t="s">
        <v>1791</v>
      </c>
      <c r="B41" s="161" t="s">
        <v>1241</v>
      </c>
      <c r="C41" s="161" t="s">
        <v>703</v>
      </c>
      <c r="D41" s="161" t="s">
        <v>1792</v>
      </c>
      <c r="E41" s="161" t="s">
        <v>48</v>
      </c>
      <c r="F41" s="161" t="s">
        <v>562</v>
      </c>
      <c r="H41" s="161" t="s">
        <v>531</v>
      </c>
      <c r="I41" s="161" t="s">
        <v>1266</v>
      </c>
      <c r="J41" s="161" t="s">
        <v>1835</v>
      </c>
      <c r="K41" s="161" t="s">
        <v>1836</v>
      </c>
      <c r="L41" s="161" t="s">
        <v>562</v>
      </c>
    </row>
    <row r="42" spans="1:12">
      <c r="A42">
        <v>0</v>
      </c>
      <c r="B42" t="s">
        <v>1837</v>
      </c>
      <c r="C42" t="s">
        <v>1838</v>
      </c>
      <c r="D42">
        <v>40</v>
      </c>
      <c r="E42">
        <f>$B$5</f>
        <v>50</v>
      </c>
      <c r="F42" t="str">
        <f>IF(E42&gt;=D42,"✅ Achieved","⏳ Upcoming")</f>
        <v>✅ Achieved</v>
      </c>
      <c r="H42" s="169">
        <v>36</v>
      </c>
      <c r="I42" s="169" t="s">
        <v>1839</v>
      </c>
      <c r="J42" s="169" t="s">
        <v>1840</v>
      </c>
      <c r="K42" s="169" t="s">
        <v>1841</v>
      </c>
      <c r="L42" s="169" t="str">
        <f>IF($B$5&gt;=H42,"✅ Reached",IF($B$5&gt;=H42-10,"🔜 Soon","⏳ Future"))</f>
        <v>✅ Reached</v>
      </c>
    </row>
    <row r="43" spans="1:12">
      <c r="A43">
        <v>3</v>
      </c>
      <c r="B43" t="s">
        <v>1842</v>
      </c>
      <c r="C43" t="s">
        <v>1843</v>
      </c>
      <c r="D43">
        <v>52</v>
      </c>
      <c r="E43">
        <f>$B$5</f>
        <v>50</v>
      </c>
      <c r="F43" t="str">
        <f>IF(E43&gt;=D43,"✅ Achieved","⏳ Upcoming")</f>
        <v>⏳ Upcoming</v>
      </c>
      <c r="H43" s="169">
        <v>40</v>
      </c>
      <c r="I43" s="169" t="s">
        <v>1272</v>
      </c>
      <c r="J43" s="169" t="s">
        <v>1844</v>
      </c>
      <c r="K43" s="169" t="s">
        <v>1845</v>
      </c>
      <c r="L43" s="169" t="str">
        <f>IF($B$5&gt;=H43,"✅ Reached",IF($B$5&gt;=H43-10,"🔜 Soon","⏳ Future"))</f>
        <v>✅ Reached</v>
      </c>
    </row>
    <row r="44" spans="1:12">
      <c r="A44">
        <v>6</v>
      </c>
      <c r="B44" t="s">
        <v>1389</v>
      </c>
      <c r="C44" t="s">
        <v>1846</v>
      </c>
      <c r="D44">
        <v>64</v>
      </c>
      <c r="E44">
        <f>$B$5</f>
        <v>50</v>
      </c>
      <c r="F44" t="str">
        <f>IF(E44&gt;=D44,"✅ Achieved","⏳ Upcoming")</f>
        <v>⏳ Upcoming</v>
      </c>
      <c r="H44" s="169">
        <v>52</v>
      </c>
      <c r="I44" s="169" t="s">
        <v>1292</v>
      </c>
      <c r="J44" s="169" t="s">
        <v>1842</v>
      </c>
      <c r="K44" s="169" t="s">
        <v>1799</v>
      </c>
      <c r="L44" s="169" t="str">
        <f>IF($B$5&gt;=H44,"✅ Reached",IF($B$5&gt;=H44-10,"🔜 Soon","⏳ Future"))</f>
        <v>🔜 Soon</v>
      </c>
    </row>
    <row r="45" spans="1:12">
      <c r="A45">
        <v>9</v>
      </c>
      <c r="B45" t="s">
        <v>1392</v>
      </c>
      <c r="C45" t="s">
        <v>1847</v>
      </c>
      <c r="D45">
        <v>76</v>
      </c>
      <c r="E45">
        <f>$B$5</f>
        <v>50</v>
      </c>
      <c r="F45" t="str">
        <f>IF(E45&gt;=D45,"✅ Achieved","⏳ Upcoming")</f>
        <v>⏳ Upcoming</v>
      </c>
      <c r="H45" s="169">
        <v>64</v>
      </c>
      <c r="I45" s="169" t="s">
        <v>1307</v>
      </c>
      <c r="J45" s="169" t="s">
        <v>1389</v>
      </c>
      <c r="K45" s="169" t="s">
        <v>1803</v>
      </c>
      <c r="L45" s="169" t="str">
        <f>IF($B$5&gt;=H45,"✅ Reached",IF($B$5&gt;=H45-10,"🔜 Soon","⏳ Future"))</f>
        <v>⏳ Future</v>
      </c>
    </row>
    <row r="46" spans="1:12">
      <c r="A46">
        <v>12</v>
      </c>
      <c r="B46" t="s">
        <v>1848</v>
      </c>
      <c r="C46" t="s">
        <v>1849</v>
      </c>
      <c r="D46">
        <v>92</v>
      </c>
      <c r="E46">
        <f>$B$5</f>
        <v>50</v>
      </c>
      <c r="F46" t="str">
        <f>IF(E46&gt;=D46,"✅ Achieved","⏳ Upcoming")</f>
        <v>⏳ Upcoming</v>
      </c>
      <c r="H46" s="169">
        <v>92</v>
      </c>
      <c r="I46" s="169" t="s">
        <v>1850</v>
      </c>
      <c r="J46" s="169" t="s">
        <v>1848</v>
      </c>
      <c r="K46" s="169" t="s">
        <v>1815</v>
      </c>
      <c r="L46" s="169" t="str">
        <f>IF($B$5&gt;=H46,"✅ Reached",IF($B$5&gt;=H46-10,"🔜 Soon","⏳ Future"))</f>
        <v>⏳ Future</v>
      </c>
    </row>
    <row r="47" spans="1:12">
      <c r="A47">
        <v>18</v>
      </c>
      <c r="B47" t="s">
        <v>1851</v>
      </c>
      <c r="C47" t="s">
        <v>1852</v>
      </c>
      <c r="D47">
        <v>118</v>
      </c>
      <c r="E47">
        <f>$B$5</f>
        <v>50</v>
      </c>
      <c r="F47" t="str">
        <f>IF(E47&gt;=D47,"✅ Achieved","⏳ Upcoming")</f>
        <v>⏳ Upcoming</v>
      </c>
      <c r="H47" s="169">
        <v>144</v>
      </c>
      <c r="I47" s="169" t="s">
        <v>1853</v>
      </c>
      <c r="J47" s="169" t="s">
        <v>1854</v>
      </c>
      <c r="K47" s="169" t="s">
        <v>1823</v>
      </c>
      <c r="L47" s="169" t="str">
        <f>IF($B$5&gt;=H47,"✅ Reached",IF($B$5&gt;=H47-10,"🔜 Soon","⏳ Future"))</f>
        <v>⏳ Future</v>
      </c>
    </row>
    <row r="48" spans="1:12">
      <c r="A48">
        <v>24</v>
      </c>
      <c r="B48" t="s">
        <v>1854</v>
      </c>
      <c r="C48" t="s">
        <v>1855</v>
      </c>
      <c r="D48">
        <v>144</v>
      </c>
      <c r="E48">
        <f>$B$5</f>
        <v>50</v>
      </c>
      <c r="F48" t="str">
        <f>IF(E48&gt;=D48,"✅ Achieved","⏳ Upcoming")</f>
        <v>⏳ Upcoming</v>
      </c>
      <c r="H48" s="169">
        <v>196</v>
      </c>
      <c r="I48" s="169" t="s">
        <v>1856</v>
      </c>
      <c r="J48" s="169" t="s">
        <v>1857</v>
      </c>
      <c r="K48" s="169" t="s">
        <v>1827</v>
      </c>
      <c r="L48" s="169" t="str">
        <f>IF($B$5&gt;=H48,"✅ Reached",IF($B$5&gt;=H48-10,"🔜 Soon","⏳ Future"))</f>
        <v>⏳ Future</v>
      </c>
    </row>
    <row r="49" spans="1:12">
      <c r="A49">
        <v>36</v>
      </c>
      <c r="B49" t="s">
        <v>1857</v>
      </c>
      <c r="C49" t="s">
        <v>1858</v>
      </c>
      <c r="D49">
        <v>196</v>
      </c>
      <c r="E49">
        <f>$B$5</f>
        <v>50</v>
      </c>
      <c r="F49" t="str">
        <f>IF(E49&gt;=D49,"✅ Achieved","⏳ Upcoming")</f>
        <v>⏳ Upcoming</v>
      </c>
      <c r="H49" s="169">
        <v>300</v>
      </c>
      <c r="I49" s="169" t="s">
        <v>1859</v>
      </c>
      <c r="J49" s="169" t="s">
        <v>1860</v>
      </c>
      <c r="K49" s="169" t="s">
        <v>1831</v>
      </c>
      <c r="L49" s="169" t="str">
        <f>IF($B$5&gt;=H49,"✅ Reached",IF($B$5&gt;=H49-10,"🔜 Soon","⏳ Future"))</f>
        <v>⏳ Future</v>
      </c>
    </row>
    <row r="50" spans="1:12">
      <c r="A50">
        <v>48</v>
      </c>
      <c r="B50" t="s">
        <v>1861</v>
      </c>
      <c r="C50" t="s">
        <v>1862</v>
      </c>
      <c r="D50">
        <v>248</v>
      </c>
      <c r="E50">
        <f>$B$5</f>
        <v>50</v>
      </c>
      <c r="F50" t="str">
        <f>IF(E50&gt;=D50,"✅ Achieved","⏳ Upcoming")</f>
        <v>⏳ Upcoming</v>
      </c>
      <c r="H50" s="169">
        <v>352</v>
      </c>
      <c r="I50" s="169" t="s">
        <v>1863</v>
      </c>
      <c r="J50" s="169" t="s">
        <v>1864</v>
      </c>
      <c r="K50" s="169" t="s">
        <v>1865</v>
      </c>
      <c r="L50" s="169" t="str">
        <f>IF($B$5&gt;=H50,"✅ Reached",IF($B$5&gt;=H50-10,"🔜 Soon","⏳ Future"))</f>
        <v>⏳ Future</v>
      </c>
    </row>
    <row r="51" spans="1:12">
      <c r="A51">
        <v>60</v>
      </c>
      <c r="B51" t="s">
        <v>1860</v>
      </c>
      <c r="C51" t="s">
        <v>1866</v>
      </c>
      <c r="D51">
        <v>300</v>
      </c>
      <c r="E51">
        <f>$B$5</f>
        <v>50</v>
      </c>
      <c r="F51" t="str">
        <f>IF(E51&gt;=D51,"✅ Achieved","⏳ Upcoming")</f>
        <v>⏳ Upcoming</v>
      </c>
    </row>
    <row r="52" spans="1:12">
      <c r="A52">
        <v>72</v>
      </c>
      <c r="B52" t="s">
        <v>1864</v>
      </c>
      <c r="C52" t="s">
        <v>1867</v>
      </c>
      <c r="D52">
        <v>352</v>
      </c>
      <c r="E52">
        <f>$B$5</f>
        <v>50</v>
      </c>
      <c r="F52" t="str">
        <f>IF(E52&gt;=D52,"✅ Achieved","⏳ Upcoming")</f>
        <v>⏳ Upcoming</v>
      </c>
    </row>
    <row r="54" spans="1:12">
      <c r="A54" s="165" t="s">
        <v>1868</v>
      </c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</row>
    <row r="55" spans="1:12">
      <c r="A55" s="161" t="s">
        <v>669</v>
      </c>
      <c r="B55" s="161" t="s">
        <v>592</v>
      </c>
      <c r="D55" s="163" t="s">
        <v>1869</v>
      </c>
      <c r="E55" s="55"/>
      <c r="F55" s="55"/>
    </row>
    <row r="56" spans="1:12">
      <c r="A56" t="s">
        <v>1870</v>
      </c>
      <c r="B56">
        <f>COUNTA(A14:A24)</f>
        <v>11</v>
      </c>
      <c r="D56" s="161" t="s">
        <v>955</v>
      </c>
      <c r="E56" s="161" t="s">
        <v>1152</v>
      </c>
      <c r="F56" s="161" t="s">
        <v>1154</v>
      </c>
    </row>
    <row r="57" spans="1:12">
      <c r="A57" t="s">
        <v>1871</v>
      </c>
      <c r="B57">
        <f>COUNTIF(B14:B24,"Cognitive")</f>
        <v>5</v>
      </c>
      <c r="D57" t="s">
        <v>833</v>
      </c>
      <c r="E57" t="s">
        <v>1742</v>
      </c>
      <c r="F57" t="s">
        <v>1872</v>
      </c>
    </row>
    <row r="58" spans="1:12">
      <c r="A58" t="s">
        <v>1873</v>
      </c>
      <c r="B58">
        <f>COUNTIF(B14:B24,"Language")</f>
        <v>2</v>
      </c>
      <c r="D58" t="s">
        <v>1170</v>
      </c>
      <c r="E58" t="s">
        <v>1560</v>
      </c>
      <c r="F58" t="s">
        <v>1874</v>
      </c>
    </row>
    <row r="59" spans="1:12">
      <c r="A59" t="s">
        <v>1875</v>
      </c>
      <c r="B59">
        <f>COUNTIF(B14:B24,"Sensory")+COUNTIF(B14:B24,"Motor")</f>
        <v>4</v>
      </c>
      <c r="D59" t="s">
        <v>842</v>
      </c>
      <c r="E59" t="s">
        <v>534</v>
      </c>
      <c r="F59" t="s">
        <v>1876</v>
      </c>
    </row>
    <row r="60" spans="1:12">
      <c r="A60" t="s">
        <v>1758</v>
      </c>
      <c r="B60" s="11">
        <f>AVERAGE(L14:L24)</f>
        <v>0.49955436720142604</v>
      </c>
      <c r="D60" t="s">
        <v>1748</v>
      </c>
      <c r="E60" t="s">
        <v>1877</v>
      </c>
      <c r="F60" t="s">
        <v>1878</v>
      </c>
    </row>
    <row r="61" spans="1:12">
      <c r="A61" t="s">
        <v>1879</v>
      </c>
      <c r="B61" t="str">
        <f>COUNTIF(F28:F38,"✅ Achieved")&amp;" of "&amp;COUNTA(F28:F38)</f>
        <v>2 of 11</v>
      </c>
      <c r="D61" t="s">
        <v>1643</v>
      </c>
      <c r="E61" t="s">
        <v>1880</v>
      </c>
      <c r="F61" t="s">
        <v>1881</v>
      </c>
    </row>
    <row r="62" spans="1:12">
      <c r="A62" t="s">
        <v>1882</v>
      </c>
      <c r="B62" t="str">
        <f>COUNTIF(F42:F52,"✅ Achieved")&amp;" of "&amp;COUNTA(F42:F52)</f>
        <v>1 of 11</v>
      </c>
      <c r="D62" t="s">
        <v>1883</v>
      </c>
      <c r="E62" t="s">
        <v>1756</v>
      </c>
      <c r="F62" t="s">
        <v>1884</v>
      </c>
    </row>
    <row r="63" spans="1:12">
      <c r="A63" t="s">
        <v>1652</v>
      </c>
      <c r="B63" t="str">
        <f>COUNTIF(L28:L35,"🟢*")&amp;" of "&amp;COUNTA(L28:L35)</f>
        <v>6 of 8</v>
      </c>
      <c r="D63" t="s">
        <v>836</v>
      </c>
      <c r="E63" t="s">
        <v>1885</v>
      </c>
      <c r="F63" t="s">
        <v>1886</v>
      </c>
    </row>
    <row r="64" spans="1:12">
      <c r="A64" t="s">
        <v>683</v>
      </c>
      <c r="B64" s="11">
        <f>AVERAGE(G5,G6)</f>
        <v>0.49534313725490198</v>
      </c>
      <c r="D64" t="s">
        <v>882</v>
      </c>
      <c r="E64" t="s">
        <v>1887</v>
      </c>
      <c r="F64" t="s">
        <v>1888</v>
      </c>
    </row>
    <row r="65" spans="1:2">
      <c r="A65" t="s">
        <v>1889</v>
      </c>
      <c r="B65" t="str">
        <f>IF(B64&lt;0.1,"⏳ Pre-Communicative",IF(B64&lt;0.3,"🔄 Emerging",IF(B64&lt;0.6,"🟢 Developing","✅ Ready")))</f>
        <v>🟢 Developing</v>
      </c>
    </row>
  </sheetData>
  <mergeCells count="1">
    <mergeCell ref="A1:L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9B39-EFFC-491E-B862-391C6DE5DDC6}">
  <dimension ref="A1:N72"/>
  <sheetViews>
    <sheetView topLeftCell="A46" workbookViewId="0"/>
  </sheetViews>
  <sheetFormatPr defaultRowHeight="15"/>
  <cols>
    <col min="1" max="1" width="32.42578125" customWidth="1"/>
    <col min="2" max="2" width="24.7109375" customWidth="1"/>
    <col min="3" max="3" width="21" customWidth="1"/>
    <col min="4" max="4" width="26.7109375" customWidth="1"/>
    <col min="5" max="5" width="21" customWidth="1"/>
    <col min="6" max="6" width="24.7109375" customWidth="1"/>
    <col min="7" max="7" width="21" customWidth="1"/>
    <col min="8" max="8" width="28.5703125" customWidth="1"/>
    <col min="9" max="9" width="21" customWidth="1"/>
    <col min="10" max="10" width="19" customWidth="1"/>
    <col min="11" max="11" width="21" customWidth="1"/>
    <col min="12" max="12" width="19" customWidth="1"/>
  </cols>
  <sheetData>
    <row r="1" spans="1:14" ht="21">
      <c r="A1" s="350" t="s">
        <v>1890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</row>
    <row r="3" spans="1:14">
      <c r="A3" s="170" t="s">
        <v>559</v>
      </c>
      <c r="B3" s="171"/>
      <c r="C3" s="171"/>
      <c r="D3" s="171"/>
      <c r="F3" s="164" t="s">
        <v>1891</v>
      </c>
      <c r="G3" s="64"/>
      <c r="H3" s="64"/>
    </row>
    <row r="4" spans="1:14">
      <c r="A4" s="1" t="s">
        <v>591</v>
      </c>
      <c r="B4" s="1">
        <f>'DNA Loop Engine'!B5</f>
        <v>50</v>
      </c>
      <c r="C4" s="1" t="s">
        <v>593</v>
      </c>
      <c r="D4" s="1" t="s">
        <v>504</v>
      </c>
      <c r="F4" s="1" t="s">
        <v>669</v>
      </c>
      <c r="G4" s="1" t="s">
        <v>592</v>
      </c>
      <c r="H4" s="1" t="s">
        <v>562</v>
      </c>
    </row>
    <row r="5" spans="1:14">
      <c r="A5" t="s">
        <v>48</v>
      </c>
      <c r="B5">
        <f>'DNA Loop Engine'!B5</f>
        <v>50</v>
      </c>
      <c r="C5" t="s">
        <v>668</v>
      </c>
      <c r="D5" t="s">
        <v>1761</v>
      </c>
      <c r="F5" t="s">
        <v>1892</v>
      </c>
      <c r="G5">
        <f>IF($B$15&lt;10,0,IF($B$15&gt;=18,100,ROUND(($B$15-10)/8*100,0)))</f>
        <v>0</v>
      </c>
      <c r="H5" t="str">
        <f>IF(G5=0,"⏳ Dormant",IF(G5&lt;50,"🔄 Developing",IF(G5&lt;80,"🟡 Maturing","✅ Mature")))</f>
        <v>⏳ Dormant</v>
      </c>
    </row>
    <row r="6" spans="1:14">
      <c r="A6" t="s">
        <v>1522</v>
      </c>
      <c r="B6">
        <f>MAX(0, B5-40)</f>
        <v>10</v>
      </c>
      <c r="C6" t="s">
        <v>668</v>
      </c>
      <c r="D6" t="s">
        <v>1762</v>
      </c>
      <c r="F6" t="s">
        <v>1893</v>
      </c>
      <c r="G6">
        <f>IF($B$15&lt;10,20,IF($B$15&gt;=18,85,ROUND(20+($B$15-10)/8*65,0)))</f>
        <v>20</v>
      </c>
      <c r="H6" t="str">
        <f>IF(G6&lt;30,"🔴 Unstable",IF(G6&lt;60,"🟠 Developing",IF(G6&lt;80,"🟡 Stabilizing","✅ Stable")))</f>
        <v>🔴 Unstable</v>
      </c>
    </row>
    <row r="7" spans="1:14">
      <c r="A7" t="s">
        <v>1526</v>
      </c>
      <c r="B7" t="str">
        <f>IF(B6&lt;=0,"Pre-Birth",IF(B6&lt;52,ROUND(B6/52,1)&amp;" ("&amp;ROUND(B6/4.33,0)&amp;" mo)",ROUND(B6/52,1)))</f>
        <v>0.2 (2 mo)</v>
      </c>
      <c r="C7" t="s">
        <v>1655</v>
      </c>
      <c r="D7" t="s">
        <v>1894</v>
      </c>
      <c r="F7" t="s">
        <v>1895</v>
      </c>
      <c r="G7">
        <f>ROUND($B$14*100,0)</f>
        <v>0</v>
      </c>
      <c r="H7" t="str">
        <f>IF(G7=0,"⏳ Pre-Identity",IF(G7&lt;50,"🔄 Forming",IF(G7&lt;80,"🟡 Solidifying","✅ Established")))</f>
        <v>⏳ Pre-Identity</v>
      </c>
    </row>
    <row r="8" spans="1:14">
      <c r="A8" t="s">
        <v>1417</v>
      </c>
      <c r="B8">
        <f>IF(B6&lt;=0,0,ROUND(B6/4.33,0))</f>
        <v>2</v>
      </c>
      <c r="C8" t="s">
        <v>1408</v>
      </c>
      <c r="D8" t="s">
        <v>1896</v>
      </c>
      <c r="F8" t="s">
        <v>1897</v>
      </c>
      <c r="G8">
        <f>IF($B$15&lt;10,30,IF($B$15&gt;=18,90,ROUND(30+($B$15-10)/8*60,0)))</f>
        <v>30</v>
      </c>
      <c r="H8" t="str">
        <f>IF(G8&lt;40,"🔄 Basic",IF(G8&lt;70,"🟡 Developing","✅ Advanced"))</f>
        <v>🔄 Basic</v>
      </c>
    </row>
    <row r="9" spans="1:14">
      <c r="A9" t="s">
        <v>1530</v>
      </c>
      <c r="B9" t="str">
        <f>IF($B$15&lt;1,"👶 Infant",IF($B$15&lt;10,"🧒 Child",IF($B$15&lt;13,"🧑 Pre-Teen",IF($B$15&lt;18,"🧑‍🦱 Adolescent","🧑‍🎓 Young Adult"))))</f>
        <v>👶 Infant</v>
      </c>
      <c r="D9" t="s">
        <v>1764</v>
      </c>
      <c r="F9" t="s">
        <v>1898</v>
      </c>
      <c r="G9">
        <f>IF($B$15&lt;10,10,IF($B$15&gt;=18,80,ROUND(10+($B$15-10)/8*70,0)))</f>
        <v>10</v>
      </c>
      <c r="H9" t="str">
        <f>IF(G9&lt;30,"⏳ Emerging",IF(G9&lt;60,"🔄 Developing",IF(G9&lt;80,"🟡 Maturing","✅ Functional")))</f>
        <v>⏳ Emerging</v>
      </c>
    </row>
    <row r="10" spans="1:14">
      <c r="A10" t="s">
        <v>1899</v>
      </c>
      <c r="B10" t="str">
        <f>IF($B$15&lt;10,"⏳ Pre-Puberty",IF($B$15&lt;13,"🔄 Early Puberty",IF($B$15&lt;16,"🔄 Mid-Puberty",IF($B$15&lt;18,"🔄 Late Puberty","✅ Complete"))))</f>
        <v>⏳ Pre-Puberty</v>
      </c>
      <c r="D10" t="s">
        <v>1900</v>
      </c>
      <c r="F10" t="s">
        <v>1901</v>
      </c>
      <c r="G10">
        <f>IF($B$15&lt;10,5,IF($B$15&gt;=18,75,ROUND(5+($B$15-10)/8*70,0)))</f>
        <v>5</v>
      </c>
      <c r="H10" t="str">
        <f>IF(G10&lt;30,"🔴 Poor",IF(G10&lt;60,"🟠 Limited",IF(G10&lt;80,"🟡 Developing","✅ Good")))</f>
        <v>🔴 Poor</v>
      </c>
    </row>
    <row r="11" spans="1:14">
      <c r="A11" t="s">
        <v>534</v>
      </c>
      <c r="B11" s="6">
        <f>'DNA Loop Engine'!B19</f>
        <v>1</v>
      </c>
      <c r="C11" t="s">
        <v>653</v>
      </c>
      <c r="D11" t="s">
        <v>1761</v>
      </c>
      <c r="F11" t="s">
        <v>1902</v>
      </c>
      <c r="G11">
        <f>IF($B$15&lt;10,15,IF($B$15&gt;=18,90,ROUND(15+($B$15-10)/8*75,0)))</f>
        <v>15</v>
      </c>
      <c r="H11" t="str">
        <f>IF(G11&lt;30,"⏳ Emerging",IF(G11&lt;60,"🔄 Growing",IF(G11&lt;80,"🟡 Deepening","✅ Strong")))</f>
        <v>⏳ Emerging</v>
      </c>
    </row>
    <row r="12" spans="1:14">
      <c r="A12" t="s">
        <v>1903</v>
      </c>
      <c r="B12">
        <f>IF($B$15&lt;10,0.1,IF($B$15&lt;13,0.3,IF($B$15&lt;16,0.5,IF($B$15&lt;18,0.3,0.1))))</f>
        <v>0.1</v>
      </c>
      <c r="C12" t="s">
        <v>1904</v>
      </c>
      <c r="D12" t="s">
        <v>1905</v>
      </c>
      <c r="F12" t="s">
        <v>1906</v>
      </c>
      <c r="G12">
        <f>IF($B$15&lt;10,20,IF($B$15&gt;=18,80,ROUND(20+($B$15-10)/8*60,0)))</f>
        <v>20</v>
      </c>
      <c r="H12" t="str">
        <f>IF(G12&lt;40,"🔴 Weak",IF(G12&lt;60,"🟠 Developing",IF(G12&lt;80,"🟡 Improving","✅ Strong")))</f>
        <v>🔴 Weak</v>
      </c>
    </row>
    <row r="13" spans="1:14">
      <c r="A13" t="s">
        <v>1907</v>
      </c>
      <c r="B13">
        <f>MIN(1,B6/520)</f>
        <v>1.9230769230769232E-2</v>
      </c>
      <c r="C13" t="s">
        <v>1904</v>
      </c>
      <c r="D13" t="s">
        <v>1908</v>
      </c>
      <c r="F13" t="s">
        <v>1909</v>
      </c>
      <c r="G13">
        <f>IF($B$15&lt;10,10,IF($B$15&gt;=18,85,ROUND(10+($B$15-10)/8*75,0)))</f>
        <v>10</v>
      </c>
      <c r="H13" t="str">
        <f>IF(G13&lt;30,"⏳ Pre-Conventional",IF(G13&lt;60,"🔄 Conventional",IF(G13&lt;80,"🟡 Post-Conventional","✅ Principled")))</f>
        <v>⏳ Pre-Conventional</v>
      </c>
    </row>
    <row r="14" spans="1:14">
      <c r="A14" t="s">
        <v>1910</v>
      </c>
      <c r="B14">
        <f>IF($B$15&lt;10,0,IF($B$15&lt;18,($B$15-10)/8,1))</f>
        <v>0</v>
      </c>
      <c r="C14" t="s">
        <v>1904</v>
      </c>
      <c r="D14" t="s">
        <v>1911</v>
      </c>
      <c r="F14" t="s">
        <v>1912</v>
      </c>
      <c r="G14">
        <f>ROUND(AVERAGE(G5:G13),0)</f>
        <v>12</v>
      </c>
      <c r="H14" t="str">
        <f>IF(G14&lt;30,"🧒 Child-like",IF(G14&lt;50,"🧑 Pre-Teen",IF(G14&lt;70,"🧑‍🦱 Adolescent",IF(G14&lt;85,"🧑‍🎓 Young Adult","✅ Adult"))))</f>
        <v>🧒 Child-like</v>
      </c>
    </row>
    <row r="15" spans="1:14">
      <c r="A15" t="s">
        <v>1913</v>
      </c>
      <c r="B15">
        <f>IF(B6&lt;=0,0,B6/52)</f>
        <v>0.19230769230769232</v>
      </c>
      <c r="C15" t="s">
        <v>1655</v>
      </c>
      <c r="D15" t="s">
        <v>1914</v>
      </c>
    </row>
    <row r="16" spans="1:14">
      <c r="A16" s="172" t="s">
        <v>1915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  <row r="17" spans="1:12">
      <c r="A17" s="173" t="s">
        <v>41</v>
      </c>
      <c r="B17" s="173" t="s">
        <v>1517</v>
      </c>
      <c r="C17" s="173" t="s">
        <v>452</v>
      </c>
      <c r="D17" s="173" t="s">
        <v>453</v>
      </c>
      <c r="E17" s="173" t="s">
        <v>1518</v>
      </c>
      <c r="F17" s="173" t="s">
        <v>1766</v>
      </c>
      <c r="G17" s="173" t="s">
        <v>1767</v>
      </c>
      <c r="H17" s="173" t="s">
        <v>1548</v>
      </c>
      <c r="I17" s="173" t="s">
        <v>47</v>
      </c>
      <c r="J17" s="173" t="s">
        <v>48</v>
      </c>
      <c r="K17" s="173" t="s">
        <v>562</v>
      </c>
      <c r="L17" s="173" t="s">
        <v>455</v>
      </c>
    </row>
    <row r="18" spans="1:12">
      <c r="A18" s="184" t="s">
        <v>1554</v>
      </c>
      <c r="B18" s="184" t="s">
        <v>1388</v>
      </c>
      <c r="C18" s="184">
        <v>70</v>
      </c>
      <c r="D18" s="184">
        <v>90</v>
      </c>
      <c r="E18" s="184" t="s">
        <v>1916</v>
      </c>
      <c r="F18" s="184" t="s">
        <v>1556</v>
      </c>
      <c r="G18" s="184" t="s">
        <v>485</v>
      </c>
      <c r="H18" s="184" t="s">
        <v>1917</v>
      </c>
      <c r="I18" s="184" t="s">
        <v>1553</v>
      </c>
      <c r="J18" s="184">
        <f>$B$5</f>
        <v>50</v>
      </c>
      <c r="K18" s="184" t="str">
        <f>IF(J18&lt;C18,"⏳ Dormant",IF(J18&gt;=D18,"✅ Mature","🔄 Developing"))</f>
        <v>⏳ Dormant</v>
      </c>
      <c r="L18" s="184" t="str">
        <f>IF(J18&lt;C18,0,IF(J18&gt;=D18,100,ROUND((J18-C18)/(D18-C18)*100,0)))&amp;"%"</f>
        <v>0%</v>
      </c>
    </row>
    <row r="19" spans="1:12">
      <c r="A19" s="184" t="s">
        <v>1558</v>
      </c>
      <c r="B19" s="184" t="s">
        <v>1388</v>
      </c>
      <c r="C19" s="184">
        <v>60</v>
      </c>
      <c r="D19" s="184">
        <v>85</v>
      </c>
      <c r="E19" s="184" t="s">
        <v>1918</v>
      </c>
      <c r="F19" s="184" t="s">
        <v>1560</v>
      </c>
      <c r="G19" s="184" t="s">
        <v>1554</v>
      </c>
      <c r="H19" s="184" t="s">
        <v>1561</v>
      </c>
      <c r="I19" s="184" t="s">
        <v>1553</v>
      </c>
      <c r="J19" s="184">
        <f>$B$5</f>
        <v>50</v>
      </c>
      <c r="K19" s="184" t="str">
        <f>IF(J19&lt;C19,"⏳ Dormant",IF(J19&gt;=D19,"✅ Mature","🔄 Developing"))</f>
        <v>⏳ Dormant</v>
      </c>
      <c r="L19" s="184" t="str">
        <f>IF(J19&lt;C19,0,IF(J19&gt;=D19,100,ROUND((J19-C19)/(D19-C19)*100,0)))&amp;"%"</f>
        <v>0%</v>
      </c>
    </row>
    <row r="20" spans="1:12">
      <c r="A20" s="184" t="s">
        <v>1562</v>
      </c>
      <c r="B20" s="184" t="s">
        <v>1388</v>
      </c>
      <c r="C20" s="184">
        <v>60</v>
      </c>
      <c r="D20" s="184">
        <v>85</v>
      </c>
      <c r="E20" s="184" t="s">
        <v>1769</v>
      </c>
      <c r="F20" s="184" t="s">
        <v>1565</v>
      </c>
      <c r="G20" s="184" t="s">
        <v>1397</v>
      </c>
      <c r="H20" s="184" t="s">
        <v>1552</v>
      </c>
      <c r="I20" s="184" t="s">
        <v>1553</v>
      </c>
      <c r="J20" s="184">
        <f>$B$5</f>
        <v>50</v>
      </c>
      <c r="K20" s="184" t="str">
        <f>IF(J20&lt;C20,"⏳ Dormant",IF(J20&gt;=D20,"✅ Mature","🔄 Developing"))</f>
        <v>⏳ Dormant</v>
      </c>
      <c r="L20" s="184" t="str">
        <f>IF(J20&lt;C20,0,IF(J20&gt;=D20,100,ROUND((J20-C20)/(D20-C20)*100,0)))&amp;"%"</f>
        <v>0%</v>
      </c>
    </row>
    <row r="21" spans="1:12">
      <c r="A21" s="184" t="s">
        <v>1397</v>
      </c>
      <c r="B21" s="184" t="s">
        <v>1388</v>
      </c>
      <c r="C21" s="184">
        <v>70</v>
      </c>
      <c r="D21" s="184">
        <v>90</v>
      </c>
      <c r="E21" s="184" t="s">
        <v>1919</v>
      </c>
      <c r="F21" s="184" t="s">
        <v>1565</v>
      </c>
      <c r="G21" s="184" t="s">
        <v>1554</v>
      </c>
      <c r="H21" s="184" t="s">
        <v>1552</v>
      </c>
      <c r="I21" s="184" t="s">
        <v>1553</v>
      </c>
      <c r="J21" s="184">
        <f>$B$5</f>
        <v>50</v>
      </c>
      <c r="K21" s="184" t="str">
        <f>IF(J21&lt;C21,"⏳ Dormant",IF(J21&gt;=D21,"✅ Mature","🔄 Developing"))</f>
        <v>⏳ Dormant</v>
      </c>
      <c r="L21" s="184" t="str">
        <f>IF(J21&lt;C21,0,IF(J21&gt;=D21,100,ROUND((J21-C21)/(D21-C21)*100,0)))&amp;"%"</f>
        <v>0%</v>
      </c>
    </row>
    <row r="22" spans="1:12">
      <c r="A22" s="185" t="s">
        <v>1775</v>
      </c>
      <c r="B22" s="185" t="s">
        <v>1776</v>
      </c>
      <c r="C22" s="185">
        <v>60</v>
      </c>
      <c r="D22" s="185">
        <v>80</v>
      </c>
      <c r="E22" s="185" t="s">
        <v>1920</v>
      </c>
      <c r="F22" s="185" t="s">
        <v>1551</v>
      </c>
      <c r="G22" s="185" t="s">
        <v>456</v>
      </c>
      <c r="H22" s="185" t="s">
        <v>1778</v>
      </c>
      <c r="I22" s="185" t="s">
        <v>1779</v>
      </c>
      <c r="J22" s="185">
        <f>$B$5</f>
        <v>50</v>
      </c>
      <c r="K22" s="185" t="str">
        <f>IF(J22&lt;C22,"⏳ Dormant",IF(J22&gt;=D22,"✅ Mature","🔄 Developing"))</f>
        <v>⏳ Dormant</v>
      </c>
      <c r="L22" s="185" t="str">
        <f>IF(J22&lt;C22,0,IF(J22&gt;=D22,100,ROUND((J22-C22)/(D22-C22)*100,0)))&amp;"%"</f>
        <v>0%</v>
      </c>
    </row>
    <row r="23" spans="1:12">
      <c r="A23" s="185" t="s">
        <v>1780</v>
      </c>
      <c r="B23" s="185" t="s">
        <v>1776</v>
      </c>
      <c r="C23" s="185">
        <v>60</v>
      </c>
      <c r="D23" s="185">
        <v>80</v>
      </c>
      <c r="E23" s="185" t="s">
        <v>1921</v>
      </c>
      <c r="F23" s="185" t="s">
        <v>1551</v>
      </c>
      <c r="G23" s="185" t="s">
        <v>485</v>
      </c>
      <c r="H23" s="185" t="s">
        <v>1782</v>
      </c>
      <c r="I23" s="185" t="s">
        <v>1779</v>
      </c>
      <c r="J23" s="185">
        <f>$B$5</f>
        <v>50</v>
      </c>
      <c r="K23" s="185" t="str">
        <f>IF(J23&lt;C23,"⏳ Dormant",IF(J23&gt;=D23,"✅ Mature","🔄 Developing"))</f>
        <v>⏳ Dormant</v>
      </c>
      <c r="L23" s="185" t="str">
        <f>IF(J23&lt;C23,0,IF(J23&gt;=D23,100,ROUND((J23-C23)/(D23-C23)*100,0)))&amp;"%"</f>
        <v>0%</v>
      </c>
    </row>
    <row r="24" spans="1:12">
      <c r="A24" s="182" t="s">
        <v>258</v>
      </c>
      <c r="B24" s="182" t="s">
        <v>1364</v>
      </c>
      <c r="C24" s="182">
        <v>60</v>
      </c>
      <c r="D24" s="182">
        <v>85</v>
      </c>
      <c r="E24" s="182" t="s">
        <v>1922</v>
      </c>
      <c r="F24" s="182" t="s">
        <v>469</v>
      </c>
      <c r="G24" s="182" t="s">
        <v>456</v>
      </c>
      <c r="H24" s="182" t="s">
        <v>1576</v>
      </c>
      <c r="I24" s="182" t="s">
        <v>65</v>
      </c>
      <c r="J24" s="182">
        <f>$B$5</f>
        <v>50</v>
      </c>
      <c r="K24" s="182" t="str">
        <f>IF(J24&lt;C24,"⏳ Dormant",IF(J24&gt;=D24,"✅ Mature","🔄 Developing"))</f>
        <v>⏳ Dormant</v>
      </c>
      <c r="L24" s="182" t="str">
        <f>IF(J24&lt;C24,0,IF(J24&gt;=D24,100,ROUND((J24-C24)/(D24-C24)*100,0)))&amp;"%"</f>
        <v>0%</v>
      </c>
    </row>
    <row r="25" spans="1:12">
      <c r="A25" s="182" t="s">
        <v>456</v>
      </c>
      <c r="B25" s="182" t="s">
        <v>1364</v>
      </c>
      <c r="C25" s="182">
        <v>60</v>
      </c>
      <c r="D25" s="182">
        <v>85</v>
      </c>
      <c r="E25" s="182" t="s">
        <v>1923</v>
      </c>
      <c r="F25" s="182" t="s">
        <v>472</v>
      </c>
      <c r="G25" s="182" t="s">
        <v>1924</v>
      </c>
      <c r="H25" s="182" t="s">
        <v>1574</v>
      </c>
      <c r="I25" s="182" t="s">
        <v>65</v>
      </c>
      <c r="J25" s="182">
        <f>$B$5</f>
        <v>50</v>
      </c>
      <c r="K25" s="182" t="str">
        <f>IF(J25&lt;C25,"⏳ Dormant",IF(J25&gt;=D25,"✅ Mature","🔄 Developing"))</f>
        <v>⏳ Dormant</v>
      </c>
      <c r="L25" s="182" t="str">
        <f>IF(J25&lt;C25,0,IF(J25&gt;=D25,100,ROUND((J25-C25)/(D25-C25)*100,0)))&amp;"%"</f>
        <v>0%</v>
      </c>
    </row>
    <row r="26" spans="1:12">
      <c r="A26" s="64" t="s">
        <v>1578</v>
      </c>
      <c r="B26" s="64" t="s">
        <v>1579</v>
      </c>
      <c r="C26" s="64">
        <v>60</v>
      </c>
      <c r="D26" s="64">
        <v>90</v>
      </c>
      <c r="E26" s="64" t="s">
        <v>1580</v>
      </c>
      <c r="F26" s="64" t="s">
        <v>1581</v>
      </c>
      <c r="G26" s="64" t="s">
        <v>1925</v>
      </c>
      <c r="H26" s="64" t="s">
        <v>1582</v>
      </c>
      <c r="I26" s="64" t="s">
        <v>65</v>
      </c>
      <c r="J26" s="64">
        <f>$B$5</f>
        <v>50</v>
      </c>
      <c r="K26" s="64" t="str">
        <f>IF(J26&lt;C26,"⏳ Dormant",IF(J26&gt;=D26,"✅ Mature","🔄 Developing"))</f>
        <v>⏳ Dormant</v>
      </c>
      <c r="L26" s="64" t="str">
        <f>IF(J26&lt;C26,0,IF(J26&gt;=D26,100,ROUND((J26-C26)/(D26-C26)*100,0)))&amp;"%"</f>
        <v>0%</v>
      </c>
    </row>
    <row r="27" spans="1:12">
      <c r="A27" s="184" t="s">
        <v>485</v>
      </c>
      <c r="B27" s="184" t="s">
        <v>1388</v>
      </c>
      <c r="C27" s="184">
        <v>70</v>
      </c>
      <c r="D27" s="184">
        <v>90</v>
      </c>
      <c r="E27" s="184" t="s">
        <v>1926</v>
      </c>
      <c r="F27" s="184" t="s">
        <v>1772</v>
      </c>
      <c r="G27" s="184" t="s">
        <v>1554</v>
      </c>
      <c r="H27" s="184" t="s">
        <v>1927</v>
      </c>
      <c r="I27" s="184" t="s">
        <v>1553</v>
      </c>
      <c r="J27" s="184">
        <f>$B$5</f>
        <v>50</v>
      </c>
      <c r="K27" s="184" t="str">
        <f>IF(J27&lt;C27,"⏳ Dormant",IF(J27&gt;=D27,"✅ Mature","🔄 Developing"))</f>
        <v>⏳ Dormant</v>
      </c>
      <c r="L27" s="184" t="str">
        <f>IF(J27&lt;C27,0,IF(J27&gt;=D27,100,ROUND((J27-C27)/(D27-C27)*100,0)))&amp;"%"</f>
        <v>0%</v>
      </c>
    </row>
    <row r="29" spans="1:12">
      <c r="A29" s="174" t="s">
        <v>1928</v>
      </c>
      <c r="B29" s="34"/>
      <c r="C29" s="34"/>
      <c r="D29" s="34"/>
      <c r="E29" s="34"/>
      <c r="F29" s="34"/>
      <c r="H29" s="176" t="s">
        <v>1929</v>
      </c>
      <c r="I29" s="177"/>
      <c r="J29" s="177"/>
      <c r="K29" s="177"/>
      <c r="L29" s="177"/>
    </row>
    <row r="30" spans="1:12">
      <c r="A30" s="175" t="s">
        <v>1585</v>
      </c>
      <c r="B30" s="175" t="s">
        <v>1241</v>
      </c>
      <c r="C30" s="175" t="s">
        <v>703</v>
      </c>
      <c r="D30" s="175" t="s">
        <v>1930</v>
      </c>
      <c r="E30" s="175" t="s">
        <v>48</v>
      </c>
      <c r="F30" s="175" t="s">
        <v>562</v>
      </c>
      <c r="H30" s="178" t="s">
        <v>1931</v>
      </c>
      <c r="I30" s="178" t="s">
        <v>1932</v>
      </c>
      <c r="J30" s="178" t="s">
        <v>703</v>
      </c>
      <c r="K30" s="178" t="s">
        <v>562</v>
      </c>
      <c r="L30" s="178" t="s">
        <v>1933</v>
      </c>
    </row>
    <row r="31" spans="1:12">
      <c r="A31">
        <v>10</v>
      </c>
      <c r="B31" t="s">
        <v>1934</v>
      </c>
      <c r="C31" t="s">
        <v>1935</v>
      </c>
      <c r="D31">
        <f>40+(10*52)</f>
        <v>560</v>
      </c>
      <c r="E31">
        <f>$B$5</f>
        <v>50</v>
      </c>
      <c r="F31" t="str">
        <f>IF(E31&gt;=D31,"✅ Achieved","⏳ Upcoming")</f>
        <v>⏳ Upcoming</v>
      </c>
      <c r="H31" t="s">
        <v>1936</v>
      </c>
      <c r="I31" s="151">
        <v>46307</v>
      </c>
      <c r="J31" t="s">
        <v>1937</v>
      </c>
      <c r="K31" t="str">
        <f>IF($B$15&lt;10,"⏳ Future",IF($B$15&lt;12,"🔄 Active","✅ Complete"))</f>
        <v>⏳ Future</v>
      </c>
      <c r="L31" t="str">
        <f>IF($B$15&lt;10,0,IF($B$15&gt;=12,100,ROUND(($B$15-10)/2*100,0)))&amp;"%"</f>
        <v>0%</v>
      </c>
    </row>
    <row r="32" spans="1:12">
      <c r="A32">
        <v>11</v>
      </c>
      <c r="B32" t="s">
        <v>1938</v>
      </c>
      <c r="C32" t="s">
        <v>1939</v>
      </c>
      <c r="D32">
        <f>40+(11*52)</f>
        <v>612</v>
      </c>
      <c r="E32">
        <f>$B$5</f>
        <v>50</v>
      </c>
      <c r="F32" t="str">
        <f>IF(E32&gt;=D32,"✅ Achieved","⏳ Upcoming")</f>
        <v>⏳ Upcoming</v>
      </c>
      <c r="H32" t="s">
        <v>1940</v>
      </c>
      <c r="I32" s="151">
        <v>46370</v>
      </c>
      <c r="J32" t="s">
        <v>1941</v>
      </c>
      <c r="K32" t="str">
        <f>IF($B$15&lt;12,"⏳ Future",IF($B$15&lt;14,"🔄 Active","✅ Complete"))</f>
        <v>⏳ Future</v>
      </c>
      <c r="L32" t="str">
        <f>IF($B$15&lt;12,0,IF($B$15&gt;=14,100,ROUND(($B$15-12)/2*100,0)))&amp;"%"</f>
        <v>0%</v>
      </c>
    </row>
    <row r="33" spans="1:12">
      <c r="A33">
        <v>12</v>
      </c>
      <c r="B33" t="s">
        <v>1942</v>
      </c>
      <c r="C33" t="s">
        <v>1943</v>
      </c>
      <c r="D33">
        <f>40+(12*52)</f>
        <v>664</v>
      </c>
      <c r="E33">
        <f>$B$5</f>
        <v>50</v>
      </c>
      <c r="F33" t="str">
        <f>IF(E33&gt;=D33,"✅ Achieved","⏳ Upcoming")</f>
        <v>⏳ Upcoming</v>
      </c>
      <c r="H33" t="s">
        <v>1944</v>
      </c>
      <c r="I33" t="s">
        <v>1945</v>
      </c>
      <c r="J33" t="s">
        <v>1946</v>
      </c>
      <c r="K33" t="str">
        <f>IF($B$15&lt;14,"⏳ Future",IF($B$15&lt;16,"🔄 Active","✅ Complete"))</f>
        <v>⏳ Future</v>
      </c>
      <c r="L33" t="str">
        <f>IF($B$15&lt;14,0,IF($B$15&gt;=16,100,ROUND(($B$15-14)/2*100,0)))&amp;"%"</f>
        <v>0%</v>
      </c>
    </row>
    <row r="34" spans="1:12">
      <c r="A34">
        <v>13</v>
      </c>
      <c r="B34" t="s">
        <v>1947</v>
      </c>
      <c r="C34" t="s">
        <v>1948</v>
      </c>
      <c r="D34">
        <f>40+(13*52)</f>
        <v>716</v>
      </c>
      <c r="E34">
        <f>$B$5</f>
        <v>50</v>
      </c>
      <c r="F34" t="str">
        <f>IF(E34&gt;=D34,"✅ Achieved","⏳ Upcoming")</f>
        <v>⏳ Upcoming</v>
      </c>
      <c r="H34" t="s">
        <v>1949</v>
      </c>
      <c r="I34" t="s">
        <v>1950</v>
      </c>
      <c r="J34" t="s">
        <v>1951</v>
      </c>
      <c r="K34" t="str">
        <f>IF($B$15&lt;16,"⏳ Future",IF($B$15&lt;18,"🔄 Active","✅ Complete"))</f>
        <v>⏳ Future</v>
      </c>
      <c r="L34" t="str">
        <f>IF($B$15&lt;16,0,IF($B$15&gt;=18,100,ROUND(($B$15-16)/2*100,0)))&amp;"%"</f>
        <v>0%</v>
      </c>
    </row>
    <row r="35" spans="1:12">
      <c r="A35">
        <v>14</v>
      </c>
      <c r="B35" t="s">
        <v>1952</v>
      </c>
      <c r="C35" t="s">
        <v>1953</v>
      </c>
      <c r="D35">
        <f>40+(14*52)</f>
        <v>768</v>
      </c>
      <c r="E35">
        <f>$B$5</f>
        <v>50</v>
      </c>
      <c r="F35" t="str">
        <f>IF(E35&gt;=D35,"✅ Achieved","⏳ Upcoming")</f>
        <v>⏳ Upcoming</v>
      </c>
      <c r="H35" t="s">
        <v>1954</v>
      </c>
      <c r="I35" t="s">
        <v>1955</v>
      </c>
      <c r="J35" t="s">
        <v>1956</v>
      </c>
      <c r="K35" t="str">
        <f>IF($B$15&lt;18,"⏳ Future","🔄 Active")</f>
        <v>⏳ Future</v>
      </c>
      <c r="L35" t="str">
        <f>IF($B$15&lt;18,0,MIN(100,ROUND(($B$15-18)/3*100,0)))&amp;"%"</f>
        <v>0%</v>
      </c>
    </row>
    <row r="36" spans="1:12">
      <c r="A36">
        <v>15</v>
      </c>
      <c r="B36" t="s">
        <v>1957</v>
      </c>
      <c r="C36" t="s">
        <v>1958</v>
      </c>
      <c r="D36">
        <f>40+(15*52)</f>
        <v>820</v>
      </c>
      <c r="E36">
        <f>$B$5</f>
        <v>50</v>
      </c>
      <c r="F36" t="str">
        <f>IF(E36&gt;=D36,"✅ Achieved","⏳ Upcoming")</f>
        <v>⏳ Upcoming</v>
      </c>
    </row>
    <row r="37" spans="1:12">
      <c r="A37">
        <v>16</v>
      </c>
      <c r="B37" t="s">
        <v>1959</v>
      </c>
      <c r="C37" t="s">
        <v>1960</v>
      </c>
      <c r="D37">
        <f>40+(16*52)</f>
        <v>872</v>
      </c>
      <c r="E37">
        <f>$B$5</f>
        <v>50</v>
      </c>
      <c r="F37" t="str">
        <f>IF(E37&gt;=D37,"✅ Achieved","⏳ Upcoming")</f>
        <v>⏳ Upcoming</v>
      </c>
    </row>
    <row r="38" spans="1:12">
      <c r="A38">
        <v>17</v>
      </c>
      <c r="B38" t="s">
        <v>1961</v>
      </c>
      <c r="C38" t="s">
        <v>1962</v>
      </c>
      <c r="D38">
        <f>40+(17*52)</f>
        <v>924</v>
      </c>
      <c r="E38">
        <f>$B$5</f>
        <v>50</v>
      </c>
      <c r="F38" t="str">
        <f>IF(E38&gt;=D38,"✅ Achieved","⏳ Upcoming")</f>
        <v>⏳ Upcoming</v>
      </c>
    </row>
    <row r="39" spans="1:12">
      <c r="A39">
        <v>18</v>
      </c>
      <c r="B39" t="s">
        <v>1963</v>
      </c>
      <c r="C39" t="s">
        <v>1964</v>
      </c>
      <c r="D39">
        <f>40+(18*52)</f>
        <v>976</v>
      </c>
      <c r="E39">
        <f>$B$5</f>
        <v>50</v>
      </c>
      <c r="F39" t="str">
        <f>IF(E39&gt;=D39,"✅ Achieved","⏳ Upcoming")</f>
        <v>⏳ Upcoming</v>
      </c>
    </row>
    <row r="40" spans="1:12">
      <c r="A40">
        <v>21</v>
      </c>
      <c r="B40" t="s">
        <v>1965</v>
      </c>
      <c r="C40" t="s">
        <v>1966</v>
      </c>
      <c r="D40">
        <f>40+(21*52)</f>
        <v>1132</v>
      </c>
      <c r="E40">
        <f>$B$5</f>
        <v>50</v>
      </c>
      <c r="F40" t="str">
        <f>IF(E40&gt;=D40,"✅ Achieved","⏳ Upcoming")</f>
        <v>⏳ Upcoming</v>
      </c>
    </row>
    <row r="42" spans="1:12">
      <c r="A42" s="179" t="s">
        <v>1967</v>
      </c>
      <c r="B42" s="26"/>
      <c r="C42" s="26"/>
      <c r="D42" s="26"/>
      <c r="E42" s="26"/>
      <c r="F42" s="26"/>
      <c r="H42" s="181" t="s">
        <v>1968</v>
      </c>
      <c r="I42" s="182"/>
      <c r="J42" s="182"/>
      <c r="K42" s="182"/>
      <c r="L42" s="182"/>
    </row>
    <row r="43" spans="1:12">
      <c r="A43" s="180" t="s">
        <v>717</v>
      </c>
      <c r="B43" s="180" t="s">
        <v>718</v>
      </c>
      <c r="C43" s="180" t="s">
        <v>719</v>
      </c>
      <c r="D43" s="180" t="s">
        <v>1969</v>
      </c>
      <c r="E43" s="180" t="s">
        <v>1970</v>
      </c>
      <c r="F43" s="180" t="s">
        <v>562</v>
      </c>
      <c r="H43" s="183" t="s">
        <v>669</v>
      </c>
      <c r="I43" s="183" t="s">
        <v>1971</v>
      </c>
      <c r="J43" s="183" t="s">
        <v>1972</v>
      </c>
      <c r="K43" s="183" t="s">
        <v>1973</v>
      </c>
      <c r="L43" s="183" t="s">
        <v>1355</v>
      </c>
    </row>
    <row r="44" spans="1:12">
      <c r="A44" t="s">
        <v>1974</v>
      </c>
      <c r="B44" t="s">
        <v>1554</v>
      </c>
      <c r="C44" t="s">
        <v>1397</v>
      </c>
      <c r="D44">
        <v>18</v>
      </c>
      <c r="E44">
        <f>$B$15</f>
        <v>0.19230769230769232</v>
      </c>
      <c r="F44" t="str">
        <f>IF($B$15&lt;12,"⏳ Dormant",IF($B$15&gt;=18,"✅ Mature","🔄 Developing"))</f>
        <v>⏳ Dormant</v>
      </c>
      <c r="H44" t="s">
        <v>1975</v>
      </c>
      <c r="I44" s="11">
        <v>0.95</v>
      </c>
      <c r="J44" t="str">
        <f>IF($B$15&lt;10,"95%",IF($B$15&gt;25,"100%",ROUND(95+($B$15-10)/15*5,0)&amp;"%"))</f>
        <v>95%</v>
      </c>
      <c r="K44" s="11">
        <v>1</v>
      </c>
      <c r="L44" t="str">
        <f>J44</f>
        <v>95%</v>
      </c>
    </row>
    <row r="45" spans="1:12">
      <c r="A45" t="s">
        <v>1976</v>
      </c>
      <c r="B45" t="s">
        <v>1554</v>
      </c>
      <c r="C45" t="s">
        <v>456</v>
      </c>
      <c r="D45">
        <v>21</v>
      </c>
      <c r="E45">
        <f>$B$15</f>
        <v>0.19230769230769232</v>
      </c>
      <c r="F45" t="str">
        <f>IF($B$15&lt;12,"⏳ Dormant",IF($B$15&gt;=21,"✅ Mature","🔄 Developing"))</f>
        <v>⏳ Dormant</v>
      </c>
      <c r="H45" t="s">
        <v>1977</v>
      </c>
      <c r="I45" s="11">
        <v>0.8</v>
      </c>
      <c r="J45" t="str">
        <f>IF($B$15&lt;10,"80%",IF($B$15&gt;25,"100%",ROUND(80+($B$15-10)/15*20,0)&amp;"%"))</f>
        <v>80%</v>
      </c>
      <c r="K45" s="11">
        <v>1</v>
      </c>
      <c r="L45" t="str">
        <f>J45</f>
        <v>80%</v>
      </c>
    </row>
    <row r="46" spans="1:12">
      <c r="A46" t="s">
        <v>1978</v>
      </c>
      <c r="B46" t="s">
        <v>1562</v>
      </c>
      <c r="C46" t="s">
        <v>1554</v>
      </c>
      <c r="D46">
        <v>18</v>
      </c>
      <c r="E46">
        <f>$B$15</f>
        <v>0.19230769230769232</v>
      </c>
      <c r="F46" t="str">
        <f>IF($B$15&lt;12,"⏳ Dormant",IF($B$15&gt;=18,"✅ Mature","🔄 Developing"))</f>
        <v>⏳ Dormant</v>
      </c>
      <c r="H46" t="s">
        <v>1979</v>
      </c>
      <c r="I46" s="11">
        <v>0.2</v>
      </c>
      <c r="J46" t="str">
        <f>IF($B$15&lt;10,"20%",IF($B$15&gt;25,"100%",ROUND(20+($B$15-10)/15*80,0)&amp;"%"))</f>
        <v>20%</v>
      </c>
      <c r="K46" s="11">
        <v>1</v>
      </c>
      <c r="L46" t="str">
        <f>J46</f>
        <v>20%</v>
      </c>
    </row>
    <row r="47" spans="1:12">
      <c r="A47" t="s">
        <v>1980</v>
      </c>
      <c r="B47" t="s">
        <v>1558</v>
      </c>
      <c r="C47" t="s">
        <v>485</v>
      </c>
      <c r="D47">
        <v>16</v>
      </c>
      <c r="E47">
        <f>$B$15</f>
        <v>0.19230769230769232</v>
      </c>
      <c r="F47" t="str">
        <f>IF($B$15&lt;12,"⏳ Dormant",IF($B$15&gt;=16,"✅ Mature","🔄 Developing"))</f>
        <v>⏳ Dormant</v>
      </c>
      <c r="H47" t="s">
        <v>523</v>
      </c>
      <c r="I47" s="11">
        <v>0.7</v>
      </c>
      <c r="J47" t="str">
        <f>IF($B$15&lt;10,"70%",IF($B$15&gt;25,"100%",ROUND(70+($B$15-10)/15*30,0)&amp;"%"))</f>
        <v>70%</v>
      </c>
      <c r="K47" s="11">
        <v>1</v>
      </c>
      <c r="L47" t="str">
        <f>J47</f>
        <v>70%</v>
      </c>
    </row>
    <row r="48" spans="1:12">
      <c r="A48" t="s">
        <v>1981</v>
      </c>
      <c r="B48" t="s">
        <v>1397</v>
      </c>
      <c r="C48" t="s">
        <v>1554</v>
      </c>
      <c r="D48">
        <v>18</v>
      </c>
      <c r="E48">
        <f>$B$15</f>
        <v>0.19230769230769232</v>
      </c>
      <c r="F48" t="str">
        <f>IF($B$15&lt;12,"⏳ Dormant",IF($B$15&gt;=18,"✅ Mature","🔄 Developing"))</f>
        <v>⏳ Dormant</v>
      </c>
      <c r="H48" t="s">
        <v>1982</v>
      </c>
      <c r="I48" s="11">
        <v>0.4</v>
      </c>
      <c r="J48" t="str">
        <f>IF($B$15&lt;10,"40%",IF($B$15&gt;25,"100%",ROUND(40+($B$15-10)/15*60,0)&amp;"%"))</f>
        <v>40%</v>
      </c>
      <c r="K48" s="11">
        <v>1</v>
      </c>
      <c r="L48" t="str">
        <f>J48</f>
        <v>40%</v>
      </c>
    </row>
    <row r="49" spans="1:12">
      <c r="A49" t="s">
        <v>1916</v>
      </c>
      <c r="B49" t="s">
        <v>485</v>
      </c>
      <c r="C49" t="s">
        <v>1554</v>
      </c>
      <c r="D49">
        <v>21</v>
      </c>
      <c r="E49">
        <f>$B$15</f>
        <v>0.19230769230769232</v>
      </c>
      <c r="F49" t="str">
        <f>IF($B$15&lt;14,"⏳ Dormant",IF($B$15&gt;=21,"✅ Mature","🔄 Developing"))</f>
        <v>⏳ Dormant</v>
      </c>
      <c r="H49" t="s">
        <v>1983</v>
      </c>
      <c r="I49" s="11">
        <v>0.5</v>
      </c>
      <c r="J49" t="str">
        <f>IF($B$15&lt;10,"50%",IF($B$15&gt;25,"100%",ROUND(50+($B$15-10)/15*50,0)&amp;"%"))</f>
        <v>50%</v>
      </c>
      <c r="K49" s="11">
        <v>1</v>
      </c>
      <c r="L49" t="str">
        <f>J49</f>
        <v>50%</v>
      </c>
    </row>
    <row r="50" spans="1:12">
      <c r="A50" t="s">
        <v>1984</v>
      </c>
      <c r="B50" t="s">
        <v>1554</v>
      </c>
      <c r="C50" t="s">
        <v>1397</v>
      </c>
      <c r="D50">
        <v>21</v>
      </c>
      <c r="E50">
        <f>$B$15</f>
        <v>0.19230769230769232</v>
      </c>
      <c r="F50" t="str">
        <f>IF($B$15&lt;14,"⏳ Dormant",IF($B$15&gt;=21,"✅ Mature","🔄 Developing"))</f>
        <v>⏳ Dormant</v>
      </c>
    </row>
    <row r="51" spans="1:12">
      <c r="A51" t="s">
        <v>1954</v>
      </c>
      <c r="B51" t="s">
        <v>485</v>
      </c>
      <c r="C51" t="s">
        <v>1773</v>
      </c>
      <c r="D51">
        <v>21</v>
      </c>
      <c r="E51">
        <f>$B$15</f>
        <v>0.19230769230769232</v>
      </c>
      <c r="F51" t="str">
        <f>IF($B$15&lt;16,"⏳ Dormant",IF($B$15&gt;=21,"✅ Mature","🔄 Developing"))</f>
        <v>⏳ Dormant</v>
      </c>
    </row>
    <row r="53" spans="1:12">
      <c r="A53" s="172" t="s">
        <v>1985</v>
      </c>
      <c r="B53" s="30"/>
      <c r="C53" s="30"/>
      <c r="D53" s="164" t="s">
        <v>1869</v>
      </c>
      <c r="E53" s="64"/>
      <c r="F53" s="64"/>
      <c r="G53" s="64"/>
    </row>
    <row r="54" spans="1:12">
      <c r="A54" s="1" t="s">
        <v>669</v>
      </c>
      <c r="B54" s="1" t="s">
        <v>592</v>
      </c>
      <c r="D54" s="1" t="s">
        <v>955</v>
      </c>
      <c r="E54" s="1" t="s">
        <v>1152</v>
      </c>
      <c r="F54" s="1" t="s">
        <v>1154</v>
      </c>
      <c r="G54" s="1" t="s">
        <v>562</v>
      </c>
    </row>
    <row r="55" spans="1:12">
      <c r="A55" t="s">
        <v>1986</v>
      </c>
      <c r="B55">
        <v>10</v>
      </c>
      <c r="D55" t="s">
        <v>833</v>
      </c>
      <c r="E55" t="s">
        <v>1742</v>
      </c>
      <c r="F55" t="s">
        <v>1872</v>
      </c>
      <c r="G55" t="s">
        <v>1987</v>
      </c>
    </row>
    <row r="56" spans="1:12">
      <c r="A56" t="s">
        <v>1871</v>
      </c>
      <c r="B56">
        <v>5</v>
      </c>
      <c r="D56" t="s">
        <v>1988</v>
      </c>
      <c r="E56" t="s">
        <v>1989</v>
      </c>
      <c r="F56" t="s">
        <v>1990</v>
      </c>
      <c r="G56" t="s">
        <v>1987</v>
      </c>
    </row>
    <row r="57" spans="1:12">
      <c r="A57" t="s">
        <v>1873</v>
      </c>
      <c r="B57">
        <v>2</v>
      </c>
      <c r="D57" t="s">
        <v>1748</v>
      </c>
      <c r="E57" t="s">
        <v>1991</v>
      </c>
      <c r="F57" t="s">
        <v>1992</v>
      </c>
      <c r="G57" t="s">
        <v>1987</v>
      </c>
    </row>
    <row r="58" spans="1:12">
      <c r="A58" t="s">
        <v>1993</v>
      </c>
      <c r="B58">
        <v>2</v>
      </c>
      <c r="D58" t="s">
        <v>1883</v>
      </c>
      <c r="E58" t="s">
        <v>1756</v>
      </c>
      <c r="F58" t="s">
        <v>1884</v>
      </c>
      <c r="G58" t="s">
        <v>1987</v>
      </c>
    </row>
    <row r="59" spans="1:12">
      <c r="A59" t="s">
        <v>1994</v>
      </c>
      <c r="B59">
        <v>1</v>
      </c>
      <c r="D59" t="s">
        <v>1170</v>
      </c>
      <c r="E59" t="s">
        <v>1560</v>
      </c>
      <c r="F59" t="s">
        <v>1874</v>
      </c>
      <c r="G59" t="s">
        <v>1987</v>
      </c>
    </row>
    <row r="60" spans="1:12">
      <c r="A60" t="s">
        <v>1995</v>
      </c>
      <c r="B60" t="str">
        <f>COUNTIF(F31:F40,"✅ Achieved")&amp;" of 10"</f>
        <v>0 of 10</v>
      </c>
      <c r="D60" t="s">
        <v>842</v>
      </c>
      <c r="E60" t="s">
        <v>534</v>
      </c>
      <c r="F60" t="s">
        <v>1876</v>
      </c>
      <c r="G60" t="s">
        <v>1987</v>
      </c>
    </row>
    <row r="61" spans="1:12">
      <c r="A61" t="s">
        <v>1996</v>
      </c>
      <c r="B61" t="str">
        <f>COUNTIF(K31:K35,"✅ Complete")&amp;" of 5"</f>
        <v>0 of 5</v>
      </c>
      <c r="D61" t="s">
        <v>882</v>
      </c>
      <c r="E61" t="s">
        <v>1887</v>
      </c>
      <c r="F61" t="s">
        <v>1888</v>
      </c>
      <c r="G61" t="s">
        <v>1987</v>
      </c>
    </row>
    <row r="62" spans="1:12">
      <c r="A62" t="s">
        <v>1997</v>
      </c>
      <c r="B62" t="str">
        <f>COUNTIF(F44:F51,"✅ Mature")&amp;" of 8"</f>
        <v>0 of 8</v>
      </c>
      <c r="D62" t="s">
        <v>836</v>
      </c>
      <c r="E62" t="s">
        <v>1885</v>
      </c>
      <c r="F62" t="s">
        <v>1886</v>
      </c>
      <c r="G62" t="s">
        <v>1987</v>
      </c>
    </row>
    <row r="63" spans="1:12">
      <c r="A63" t="s">
        <v>1998</v>
      </c>
      <c r="B63" t="str">
        <f>IF($B$15&lt;10,"🧒 Pre-Adolescent",IF($B$15&lt;13,ROUND(($B$15-10)/8*100,0)&amp;"% — 🧑 Pre-Teen",IF($B$15&lt;18,ROUND(($B$15-10)/8*100,0)&amp;"% — 🧑‍🦱 Adolescent","100% — ✅ Complete")))</f>
        <v>🧒 Pre-Adolescent</v>
      </c>
    </row>
    <row r="65" spans="1:7">
      <c r="A65" s="179" t="s">
        <v>1999</v>
      </c>
      <c r="B65" s="26"/>
      <c r="C65" s="26"/>
      <c r="D65" s="26"/>
      <c r="E65" s="26"/>
      <c r="F65" s="26"/>
      <c r="G65" s="26"/>
    </row>
    <row r="66" spans="1:7">
      <c r="A66" s="1" t="s">
        <v>2000</v>
      </c>
      <c r="B66" s="1" t="s">
        <v>2001</v>
      </c>
      <c r="C66" s="1" t="s">
        <v>2002</v>
      </c>
      <c r="D66" s="1" t="s">
        <v>703</v>
      </c>
    </row>
    <row r="67" spans="1:7">
      <c r="A67" t="s">
        <v>1916</v>
      </c>
      <c r="B67" t="str">
        <f>ROUND($B$11*$B$13*100,2)&amp;"%"</f>
        <v>1.92%</v>
      </c>
      <c r="C67">
        <f ca="1">C67</f>
        <v>0</v>
      </c>
      <c r="D67" t="s">
        <v>2003</v>
      </c>
    </row>
    <row r="68" spans="1:7">
      <c r="A68" t="s">
        <v>1926</v>
      </c>
      <c r="B68" t="str">
        <f>ROUND($B$13*$B$14*100,2)&amp;"%"</f>
        <v>0%</v>
      </c>
      <c r="C68">
        <f ca="1">C68</f>
        <v>0</v>
      </c>
      <c r="D68" t="s">
        <v>2004</v>
      </c>
    </row>
    <row r="69" spans="1:7">
      <c r="A69" t="s">
        <v>2005</v>
      </c>
      <c r="B69" t="e">
        <f>ROUND(AVERAGE($L$22:$L$23)*$B$11/100,2)&amp;"%"</f>
        <v>#DIV/0!</v>
      </c>
      <c r="C69">
        <f ca="1">C69</f>
        <v>0</v>
      </c>
      <c r="D69" t="s">
        <v>2006</v>
      </c>
    </row>
    <row r="70" spans="1:7">
      <c r="A70" t="s">
        <v>2007</v>
      </c>
      <c r="B70" t="str">
        <f>ROUND((1-$B$12)*100,0)&amp;"%"</f>
        <v>90%</v>
      </c>
      <c r="C70">
        <f ca="1">C70</f>
        <v>0</v>
      </c>
      <c r="D70" t="s">
        <v>2008</v>
      </c>
    </row>
    <row r="71" spans="1:7">
      <c r="A71" t="s">
        <v>2009</v>
      </c>
      <c r="B71">
        <f>ROUND($G$10/$G$12,2)</f>
        <v>0.25</v>
      </c>
      <c r="C71">
        <f ca="1">C71</f>
        <v>0</v>
      </c>
      <c r="D71" t="s">
        <v>2010</v>
      </c>
    </row>
    <row r="72" spans="1:7">
      <c r="A72" t="s">
        <v>2011</v>
      </c>
      <c r="B72" t="str">
        <f>ROUND($G$14,0)&amp;"%"</f>
        <v>12%</v>
      </c>
      <c r="C72">
        <f ca="1">C72</f>
        <v>0</v>
      </c>
      <c r="D72" t="s">
        <v>2012</v>
      </c>
    </row>
  </sheetData>
  <mergeCells count="1">
    <mergeCell ref="A1:N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6668-26D3-48B7-978B-6BED2E312F09}">
  <dimension ref="A1:N50"/>
  <sheetViews>
    <sheetView workbookViewId="0"/>
  </sheetViews>
  <sheetFormatPr defaultRowHeight="15"/>
  <cols>
    <col min="1" max="1" width="34" bestFit="1" customWidth="1"/>
    <col min="2" max="2" width="19.140625" bestFit="1" customWidth="1"/>
    <col min="3" max="3" width="21.42578125" bestFit="1" customWidth="1"/>
    <col min="4" max="4" width="19.5703125" bestFit="1" customWidth="1"/>
    <col min="5" max="5" width="26" bestFit="1" customWidth="1"/>
    <col min="6" max="6" width="30.85546875" bestFit="1" customWidth="1"/>
    <col min="7" max="7" width="21.7109375" bestFit="1" customWidth="1"/>
    <col min="8" max="8" width="39.42578125" bestFit="1" customWidth="1"/>
    <col min="9" max="9" width="30.28515625" bestFit="1" customWidth="1"/>
    <col min="10" max="10" width="13.28515625" bestFit="1" customWidth="1"/>
    <col min="11" max="11" width="27.28515625" bestFit="1" customWidth="1"/>
    <col min="12" max="12" width="10.7109375" bestFit="1" customWidth="1"/>
  </cols>
  <sheetData>
    <row r="1" spans="1:14" ht="21">
      <c r="A1" s="317" t="s">
        <v>2013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</row>
    <row r="3" spans="1:14" ht="15.75">
      <c r="A3" s="2" t="s">
        <v>559</v>
      </c>
      <c r="F3" s="2" t="s">
        <v>2014</v>
      </c>
    </row>
    <row r="4" spans="1:14">
      <c r="A4" s="187" t="s">
        <v>591</v>
      </c>
      <c r="B4" s="187">
        <f>'DNA Loop Engine'!B5</f>
        <v>50</v>
      </c>
      <c r="C4" s="187" t="s">
        <v>593</v>
      </c>
      <c r="D4" s="187" t="s">
        <v>504</v>
      </c>
      <c r="F4" s="187" t="s">
        <v>669</v>
      </c>
      <c r="G4" s="187" t="s">
        <v>592</v>
      </c>
      <c r="H4" s="187" t="s">
        <v>562</v>
      </c>
    </row>
    <row r="5" spans="1:14">
      <c r="A5" t="s">
        <v>48</v>
      </c>
      <c r="B5">
        <f>'DNA Loop Engine'!B5</f>
        <v>50</v>
      </c>
      <c r="C5" t="s">
        <v>668</v>
      </c>
      <c r="D5" t="s">
        <v>1761</v>
      </c>
      <c r="F5" s="61" t="s">
        <v>2015</v>
      </c>
      <c r="G5" s="61">
        <f>IF($B$8&lt;18,0,MIN(100,ROUND(($B$8-18)/12*100,0)))</f>
        <v>0</v>
      </c>
      <c r="H5" s="61" t="str">
        <f>IF(G5&lt;25,"⏳ Developing",IF(G5&lt;50,"🔄 Emerging",IF(G5&lt;75,"🟢 Active","✅ Mature")))</f>
        <v>⏳ Developing</v>
      </c>
    </row>
    <row r="6" spans="1:14">
      <c r="A6" t="s">
        <v>1522</v>
      </c>
      <c r="B6">
        <f>MAX(0, B5-40)</f>
        <v>10</v>
      </c>
      <c r="C6" t="s">
        <v>668</v>
      </c>
      <c r="D6" t="s">
        <v>1762</v>
      </c>
      <c r="F6" s="61" t="s">
        <v>2016</v>
      </c>
      <c r="G6" s="61">
        <f>IF($B$8&lt;18,20,MIN(100,20+ROUND(($B$8-18)/22*80,0)))</f>
        <v>20</v>
      </c>
      <c r="H6" s="61" t="str">
        <f>IF(G6&lt;25,"🔴 Reactive",IF(G6&lt;50,"🟠 Developing",IF(G6&lt;75,"🟢 Balanced","✅ Wise")))</f>
        <v>🔴 Reactive</v>
      </c>
    </row>
    <row r="7" spans="1:14">
      <c r="A7" t="s">
        <v>1526</v>
      </c>
      <c r="B7">
        <f>IF(B5&lt;40,"Pre-Birth",ROUND((B5-40)/52,1))</f>
        <v>0.2</v>
      </c>
      <c r="C7" t="s">
        <v>1655</v>
      </c>
      <c r="D7" t="s">
        <v>2017</v>
      </c>
      <c r="F7" s="61" t="s">
        <v>2018</v>
      </c>
      <c r="G7" s="61">
        <f>IF($B$8&lt;10,10,MIN(100,10+ROUND(($B$8-10)/30*90,0)))</f>
        <v>10</v>
      </c>
      <c r="H7" s="61" t="str">
        <f>IF(G7&lt;25,"⏳ Forming",IF(G7&lt;50,"🔄 Building",IF(G7&lt;75,"🟢 Strong","✅ Deep")))</f>
        <v>⏳ Forming</v>
      </c>
    </row>
    <row r="8" spans="1:14">
      <c r="A8" t="s">
        <v>1913</v>
      </c>
      <c r="B8">
        <f>MAX(0,(B5-40)/52)</f>
        <v>0.19230769230769232</v>
      </c>
      <c r="C8" t="s">
        <v>1655</v>
      </c>
      <c r="D8" t="s">
        <v>2019</v>
      </c>
      <c r="F8" s="61" t="s">
        <v>2020</v>
      </c>
      <c r="G8" s="61">
        <f>IF($B$8&lt;20,0,MIN(100,ROUND(($B$8-20)/20*100,0)))</f>
        <v>0</v>
      </c>
      <c r="H8" s="61" t="str">
        <f>IF(G8&lt;25,"⏳ Dormant",IF(G8&lt;50,"🔄 Emerging",IF(G8&lt;75,"🟢 Active","✅ Flourishing")))</f>
        <v>⏳ Dormant</v>
      </c>
    </row>
    <row r="9" spans="1:14">
      <c r="A9" t="s">
        <v>1530</v>
      </c>
      <c r="B9" t="str">
        <f>IF(B8&lt;18,"🧒 Child/Adolescent",IF(B8&lt;25,"🧑 Young Adult",IF(B8&lt;40,"👨 Prime Adult",IF(B8&lt;60,"🧔 Middle Adult","👴 Senior"))))</f>
        <v>🧒 Child/Adolescent</v>
      </c>
      <c r="D9" t="s">
        <v>1764</v>
      </c>
      <c r="F9" s="61" t="s">
        <v>2021</v>
      </c>
      <c r="G9" s="61">
        <f>IF($B$8&lt;25,0,MIN(100,ROUND(($B$8-25)/15*100,0)))</f>
        <v>0</v>
      </c>
      <c r="H9" s="61" t="str">
        <f>IF(G9&lt;25,"⏳ Absent",IF(G9&lt;50,"🔄 Emerging",IF(G9&lt;75,"🟢 Reflective","✅ Self-Aware")))</f>
        <v>⏳ Absent</v>
      </c>
    </row>
    <row r="10" spans="1:14">
      <c r="A10" t="s">
        <v>534</v>
      </c>
      <c r="B10" s="6">
        <f>'DNA Loop Engine'!B19</f>
        <v>1</v>
      </c>
      <c r="C10" t="s">
        <v>653</v>
      </c>
      <c r="D10" t="s">
        <v>1761</v>
      </c>
      <c r="F10" s="61" t="s">
        <v>2022</v>
      </c>
      <c r="G10" s="61">
        <f>IF($B$8&lt;30,0,MIN(100,ROUND(($B$8-30)/30*100,0)))</f>
        <v>0</v>
      </c>
      <c r="H10" s="61" t="str">
        <f>IF(G10&lt;25,"⏳ None",IF(G10&lt;50,"🔄 Building",IF(G10&lt;75,"🟢 Developing","✅ Sage")))</f>
        <v>⏳ None</v>
      </c>
    </row>
    <row r="11" spans="1:14">
      <c r="A11" t="s">
        <v>1907</v>
      </c>
      <c r="B11">
        <f>MIN(1,B8/30)</f>
        <v>6.4102564102564109E-3</v>
      </c>
      <c r="C11" t="s">
        <v>1904</v>
      </c>
      <c r="D11" t="s">
        <v>2023</v>
      </c>
      <c r="F11" s="61" t="s">
        <v>1898</v>
      </c>
      <c r="G11" s="61">
        <f>IF($B$8&lt;21,MIN(80,$B$8/21*80),MIN(100,80+($B$8-21)/19*20))</f>
        <v>0.73260073260073266</v>
      </c>
      <c r="H11" s="61" t="str">
        <f>IF(G11&lt;50,"🔄 Developing",IF(G11&lt;80,"🟢 Functional","✅ Optimal"))</f>
        <v>🔄 Developing</v>
      </c>
    </row>
    <row r="12" spans="1:14">
      <c r="A12" t="s">
        <v>2007</v>
      </c>
      <c r="B12">
        <f>IF(B8&lt;18,0.3,IF(B8&lt;25,0.6,IF(B8&lt;40,0.85,IF(B8&lt;60,0.95,0.9))))</f>
        <v>0.3</v>
      </c>
      <c r="C12" t="s">
        <v>1904</v>
      </c>
      <c r="D12" t="s">
        <v>2024</v>
      </c>
      <c r="F12" s="61" t="s">
        <v>1897</v>
      </c>
      <c r="G12" s="61">
        <f>IF($B$8&lt;15,30,MIN(100,30+($B$8-15)/25*70))</f>
        <v>30</v>
      </c>
      <c r="H12" s="61" t="str">
        <f>IF(G12&lt;50,"🔄 Learning",IF(G12&lt;80,"🟢 Competent","✅ Expert"))</f>
        <v>🔄 Learning</v>
      </c>
    </row>
    <row r="13" spans="1:14">
      <c r="A13" t="s">
        <v>2025</v>
      </c>
      <c r="B13">
        <f>MIN(1,B8/40)</f>
        <v>4.807692307692308E-3</v>
      </c>
      <c r="C13" t="s">
        <v>1904</v>
      </c>
      <c r="D13" t="s">
        <v>2026</v>
      </c>
      <c r="F13" s="61" t="s">
        <v>1906</v>
      </c>
      <c r="G13" s="61">
        <f>IF($B$8&lt;21,MIN(60,$B$8/21*60),MIN(100,60+($B$8-21)/19*40))</f>
        <v>0.5494505494505495</v>
      </c>
      <c r="H13" s="61" t="str">
        <f>IF(G13&lt;50,"🔴 Weak",IF(G13&lt;80,"🟢 Stable","✅ Strong"))</f>
        <v>🔴 Weak</v>
      </c>
    </row>
    <row r="14" spans="1:14">
      <c r="A14" t="s">
        <v>2027</v>
      </c>
      <c r="B14">
        <f>IF(B8&lt;18,0.3,IF(B8&lt;25,0.7,IF(B8&lt;40,0.9,1)))</f>
        <v>0.3</v>
      </c>
      <c r="C14" t="s">
        <v>1904</v>
      </c>
      <c r="D14" t="s">
        <v>2028</v>
      </c>
      <c r="F14" s="61" t="s">
        <v>1912</v>
      </c>
      <c r="G14" s="61">
        <f>ROUND(AVERAGE(G5:G13),0)</f>
        <v>7</v>
      </c>
      <c r="H14" s="61" t="str">
        <f>IF(G14&lt;25,"🧒 Immature",IF(G14&lt;50,"🔄 Developing",IF(G14&lt;75,"🟢 Mature","✅ Fully Developed")))</f>
        <v>🧒 Immature</v>
      </c>
    </row>
    <row r="15" spans="1:14">
      <c r="A15" t="s">
        <v>2029</v>
      </c>
      <c r="B15">
        <f>B12*B13*B14</f>
        <v>4.3269230769230771E-4</v>
      </c>
      <c r="C15" t="s">
        <v>1904</v>
      </c>
      <c r="D15" t="s">
        <v>2030</v>
      </c>
    </row>
    <row r="17" spans="1:12" ht="15.75">
      <c r="A17" s="2" t="s">
        <v>2031</v>
      </c>
    </row>
    <row r="18" spans="1:12">
      <c r="A18" s="10" t="s">
        <v>41</v>
      </c>
      <c r="B18" s="10" t="s">
        <v>1517</v>
      </c>
      <c r="C18" s="10" t="s">
        <v>452</v>
      </c>
      <c r="D18" s="10" t="s">
        <v>453</v>
      </c>
      <c r="E18" s="10" t="s">
        <v>1518</v>
      </c>
      <c r="F18" s="10" t="s">
        <v>1766</v>
      </c>
      <c r="G18" s="10" t="s">
        <v>1767</v>
      </c>
      <c r="H18" s="10" t="s">
        <v>1548</v>
      </c>
      <c r="I18" s="10" t="s">
        <v>47</v>
      </c>
      <c r="J18" s="10" t="s">
        <v>48</v>
      </c>
      <c r="K18" s="10" t="s">
        <v>562</v>
      </c>
      <c r="L18" s="10" t="s">
        <v>455</v>
      </c>
    </row>
    <row r="19" spans="1:12">
      <c r="A19" s="55" t="s">
        <v>1554</v>
      </c>
      <c r="B19" s="55" t="s">
        <v>1388</v>
      </c>
      <c r="C19" s="55">
        <v>90</v>
      </c>
      <c r="D19" s="55">
        <v>120</v>
      </c>
      <c r="E19" s="55" t="s">
        <v>2032</v>
      </c>
      <c r="F19" s="55" t="s">
        <v>1556</v>
      </c>
      <c r="G19" s="55" t="s">
        <v>485</v>
      </c>
      <c r="H19" s="55" t="s">
        <v>2033</v>
      </c>
      <c r="I19" s="55" t="s">
        <v>1553</v>
      </c>
      <c r="J19" s="55">
        <f>$B$5</f>
        <v>50</v>
      </c>
      <c r="K19" s="55" t="str">
        <f>IF(J19&lt;C19,"⏳ Dormant",IF(J19&lt;D19,"🔄 Maturing","✅ Mature"))</f>
        <v>⏳ Dormant</v>
      </c>
      <c r="L19" s="55">
        <f>IF(J19&lt;C19,0,MIN(100,ROUND((J19-C19)/(D19-C19)*100,0)))</f>
        <v>0</v>
      </c>
    </row>
    <row r="20" spans="1:12">
      <c r="A20" s="55" t="s">
        <v>1558</v>
      </c>
      <c r="B20" s="55" t="s">
        <v>1388</v>
      </c>
      <c r="C20" s="55">
        <v>85</v>
      </c>
      <c r="D20" s="55">
        <v>110</v>
      </c>
      <c r="E20" s="55" t="s">
        <v>2034</v>
      </c>
      <c r="F20" s="55" t="s">
        <v>1560</v>
      </c>
      <c r="G20" s="55" t="s">
        <v>1554</v>
      </c>
      <c r="H20" s="55" t="s">
        <v>1561</v>
      </c>
      <c r="I20" s="55" t="s">
        <v>1553</v>
      </c>
      <c r="J20" s="55">
        <f>$B$5</f>
        <v>50</v>
      </c>
      <c r="K20" s="55" t="str">
        <f>IF(J20&lt;C20,"⏳ Dormant",IF(J20&lt;D20,"🔄 Maturing","✅ Mature"))</f>
        <v>⏳ Dormant</v>
      </c>
      <c r="L20" s="55">
        <f>IF(J20&lt;C20,0,MIN(100,ROUND((J20-C20)/(D20-C20)*100,0)))</f>
        <v>0</v>
      </c>
    </row>
    <row r="21" spans="1:12">
      <c r="A21" s="55" t="s">
        <v>1562</v>
      </c>
      <c r="B21" s="55" t="s">
        <v>1388</v>
      </c>
      <c r="C21" s="55">
        <v>85</v>
      </c>
      <c r="D21" s="55">
        <v>110</v>
      </c>
      <c r="E21" s="55" t="s">
        <v>2035</v>
      </c>
      <c r="F21" s="55" t="s">
        <v>1565</v>
      </c>
      <c r="G21" s="55" t="s">
        <v>1397</v>
      </c>
      <c r="H21" s="55" t="s">
        <v>1552</v>
      </c>
      <c r="I21" s="55" t="s">
        <v>1553</v>
      </c>
      <c r="J21" s="55">
        <f>$B$5</f>
        <v>50</v>
      </c>
      <c r="K21" s="55" t="str">
        <f>IF(J21&lt;C21,"⏳ Dormant",IF(J21&lt;D21,"🔄 Maturing","✅ Mature"))</f>
        <v>⏳ Dormant</v>
      </c>
      <c r="L21" s="55">
        <f>IF(J21&lt;C21,0,MIN(100,ROUND((J21-C21)/(D21-C21)*100,0)))</f>
        <v>0</v>
      </c>
    </row>
    <row r="22" spans="1:12">
      <c r="A22" s="55" t="s">
        <v>1397</v>
      </c>
      <c r="B22" s="55" t="s">
        <v>1388</v>
      </c>
      <c r="C22" s="55">
        <v>90</v>
      </c>
      <c r="D22" s="55">
        <v>120</v>
      </c>
      <c r="E22" s="55" t="s">
        <v>2036</v>
      </c>
      <c r="F22" s="55" t="s">
        <v>1565</v>
      </c>
      <c r="G22" s="55" t="s">
        <v>1554</v>
      </c>
      <c r="H22" s="55" t="s">
        <v>1552</v>
      </c>
      <c r="I22" s="55" t="s">
        <v>1553</v>
      </c>
      <c r="J22" s="55">
        <f>$B$5</f>
        <v>50</v>
      </c>
      <c r="K22" s="55" t="str">
        <f>IF(J22&lt;C22,"⏳ Dormant",IF(J22&lt;D22,"🔄 Maturing","✅ Mature"))</f>
        <v>⏳ Dormant</v>
      </c>
      <c r="L22" s="55">
        <f>IF(J22&lt;C22,0,MIN(100,ROUND((J22-C22)/(D22-C22)*100,0)))</f>
        <v>0</v>
      </c>
    </row>
    <row r="23" spans="1:12">
      <c r="A23" s="64" t="s">
        <v>1775</v>
      </c>
      <c r="B23" s="64" t="s">
        <v>1776</v>
      </c>
      <c r="C23" s="64">
        <v>80</v>
      </c>
      <c r="D23" s="64">
        <v>100</v>
      </c>
      <c r="E23" s="64" t="s">
        <v>2037</v>
      </c>
      <c r="F23" s="64" t="s">
        <v>1551</v>
      </c>
      <c r="G23" s="64" t="s">
        <v>456</v>
      </c>
      <c r="H23" s="64" t="s">
        <v>1778</v>
      </c>
      <c r="I23" s="64" t="s">
        <v>1779</v>
      </c>
      <c r="J23" s="64">
        <f>$B$5</f>
        <v>50</v>
      </c>
      <c r="K23" s="64" t="str">
        <f>IF(J23&lt;C23,"⏳ Dormant",IF(J23&lt;D23,"🔄 Maturing","✅ Mature"))</f>
        <v>⏳ Dormant</v>
      </c>
      <c r="L23" s="64">
        <f>IF(J23&lt;C23,0,MIN(100,ROUND((J23-C23)/(D23-C23)*100,0)))</f>
        <v>0</v>
      </c>
    </row>
    <row r="24" spans="1:12">
      <c r="A24" s="64" t="s">
        <v>1780</v>
      </c>
      <c r="B24" s="64" t="s">
        <v>1776</v>
      </c>
      <c r="C24" s="64">
        <v>80</v>
      </c>
      <c r="D24" s="64">
        <v>100</v>
      </c>
      <c r="E24" s="64" t="s">
        <v>2038</v>
      </c>
      <c r="F24" s="64" t="s">
        <v>1551</v>
      </c>
      <c r="G24" s="64" t="s">
        <v>485</v>
      </c>
      <c r="H24" s="64" t="s">
        <v>1917</v>
      </c>
      <c r="I24" s="64" t="s">
        <v>1779</v>
      </c>
      <c r="J24" s="64">
        <f>$B$5</f>
        <v>50</v>
      </c>
      <c r="K24" s="64" t="str">
        <f>IF(J24&lt;C24,"⏳ Dormant",IF(J24&lt;D24,"🔄 Maturing","✅ Mature"))</f>
        <v>⏳ Dormant</v>
      </c>
      <c r="L24" s="64">
        <f>IF(J24&lt;C24,0,MIN(100,ROUND((J24-C24)/(D24-C24)*100,0)))</f>
        <v>0</v>
      </c>
    </row>
    <row r="25" spans="1:12">
      <c r="A25" s="61" t="s">
        <v>258</v>
      </c>
      <c r="B25" s="61" t="s">
        <v>1364</v>
      </c>
      <c r="C25" s="61">
        <v>85</v>
      </c>
      <c r="D25" s="61">
        <v>110</v>
      </c>
      <c r="E25" s="61" t="s">
        <v>2039</v>
      </c>
      <c r="F25" s="61" t="s">
        <v>469</v>
      </c>
      <c r="G25" s="61" t="s">
        <v>456</v>
      </c>
      <c r="H25" s="61" t="s">
        <v>1576</v>
      </c>
      <c r="I25" s="61" t="s">
        <v>65</v>
      </c>
      <c r="J25" s="61">
        <f>$B$5</f>
        <v>50</v>
      </c>
      <c r="K25" s="61" t="str">
        <f>IF(J25&lt;C25,"⏳ Dormant",IF(J25&lt;D25,"🔄 Maturing","✅ Mature"))</f>
        <v>⏳ Dormant</v>
      </c>
      <c r="L25" s="61">
        <f>IF(J25&lt;C25,0,MIN(100,ROUND((J25-C25)/(D25-C25)*100,0)))</f>
        <v>0</v>
      </c>
    </row>
    <row r="26" spans="1:12">
      <c r="A26" s="61" t="s">
        <v>456</v>
      </c>
      <c r="B26" s="61" t="s">
        <v>1364</v>
      </c>
      <c r="C26" s="61">
        <v>85</v>
      </c>
      <c r="D26" s="61">
        <v>110</v>
      </c>
      <c r="E26" s="61" t="s">
        <v>2040</v>
      </c>
      <c r="F26" s="61" t="s">
        <v>472</v>
      </c>
      <c r="G26" s="61" t="s">
        <v>1924</v>
      </c>
      <c r="H26" s="61" t="s">
        <v>1574</v>
      </c>
      <c r="I26" s="61" t="s">
        <v>65</v>
      </c>
      <c r="J26" s="61">
        <f>$B$5</f>
        <v>50</v>
      </c>
      <c r="K26" s="61" t="str">
        <f>IF(J26&lt;C26,"⏳ Dormant",IF(J26&lt;D26,"🔄 Maturing","✅ Mature"))</f>
        <v>⏳ Dormant</v>
      </c>
      <c r="L26" s="61">
        <f>IF(J26&lt;C26,0,MIN(100,ROUND((J26-C26)/(D26-C26)*100,0)))</f>
        <v>0</v>
      </c>
    </row>
    <row r="27" spans="1:12">
      <c r="A27" s="3" t="s">
        <v>1578</v>
      </c>
      <c r="B27" s="3" t="s">
        <v>1579</v>
      </c>
      <c r="C27" s="3">
        <v>90</v>
      </c>
      <c r="D27" s="3">
        <v>120</v>
      </c>
      <c r="E27" s="3" t="s">
        <v>2041</v>
      </c>
      <c r="F27" s="3" t="s">
        <v>1581</v>
      </c>
      <c r="G27" s="3" t="s">
        <v>1925</v>
      </c>
      <c r="H27" s="3" t="s">
        <v>1582</v>
      </c>
      <c r="I27" s="3" t="s">
        <v>65</v>
      </c>
      <c r="J27" s="3">
        <f>$B$5</f>
        <v>50</v>
      </c>
      <c r="K27" s="3" t="str">
        <f>IF(J27&lt;C27,"⏳ Dormant",IF(J27&lt;D27,"🔄 Maturing","✅ Mature"))</f>
        <v>⏳ Dormant</v>
      </c>
      <c r="L27" s="3">
        <f>IF(J27&lt;C27,0,MIN(100,ROUND((J27-C27)/(D27-C27)*100,0)))</f>
        <v>0</v>
      </c>
    </row>
    <row r="28" spans="1:12">
      <c r="A28" s="55" t="s">
        <v>485</v>
      </c>
      <c r="B28" s="55" t="s">
        <v>1388</v>
      </c>
      <c r="C28" s="55">
        <v>90</v>
      </c>
      <c r="D28" s="55">
        <v>120</v>
      </c>
      <c r="E28" s="55" t="s">
        <v>2042</v>
      </c>
      <c r="F28" s="55" t="s">
        <v>1772</v>
      </c>
      <c r="G28" s="55" t="s">
        <v>1554</v>
      </c>
      <c r="H28" s="55" t="s">
        <v>1927</v>
      </c>
      <c r="I28" s="55" t="s">
        <v>1553</v>
      </c>
      <c r="J28" s="55">
        <f>$B$5</f>
        <v>50</v>
      </c>
      <c r="K28" s="55" t="str">
        <f>IF(J28&lt;C28,"⏳ Dormant",IF(J28&lt;D28,"🔄 Maturing","✅ Mature"))</f>
        <v>⏳ Dormant</v>
      </c>
      <c r="L28" s="55">
        <f>IF(J28&lt;C28,0,MIN(100,ROUND((J28-C28)/(D28-C28)*100,0)))</f>
        <v>0</v>
      </c>
    </row>
    <row r="30" spans="1:12" ht="15.75">
      <c r="A30" s="2" t="s">
        <v>2043</v>
      </c>
      <c r="H30" s="2" t="s">
        <v>2044</v>
      </c>
    </row>
    <row r="31" spans="1:12">
      <c r="A31" s="187" t="s">
        <v>1585</v>
      </c>
      <c r="B31" s="187" t="s">
        <v>2045</v>
      </c>
      <c r="C31" s="187" t="s">
        <v>1241</v>
      </c>
      <c r="D31" s="187" t="s">
        <v>1930</v>
      </c>
      <c r="E31" s="187" t="s">
        <v>48</v>
      </c>
      <c r="F31" s="187" t="s">
        <v>562</v>
      </c>
      <c r="H31" s="187" t="s">
        <v>669</v>
      </c>
      <c r="I31" s="187" t="s">
        <v>1586</v>
      </c>
      <c r="J31" s="187" t="s">
        <v>592</v>
      </c>
      <c r="K31" s="187" t="s">
        <v>703</v>
      </c>
    </row>
    <row r="32" spans="1:12">
      <c r="A32">
        <v>18</v>
      </c>
      <c r="B32" t="s">
        <v>2046</v>
      </c>
      <c r="C32" t="s">
        <v>2047</v>
      </c>
      <c r="D32">
        <f>40+(18*52)</f>
        <v>976</v>
      </c>
      <c r="E32">
        <f>$B$5</f>
        <v>50</v>
      </c>
      <c r="F32" t="str">
        <f>IF(E32&gt;=D32,"✅ Achieved","⏳ Upcoming")</f>
        <v>⏳ Upcoming</v>
      </c>
      <c r="H32" s="61" t="s">
        <v>2048</v>
      </c>
      <c r="I32" s="61" t="s">
        <v>2049</v>
      </c>
      <c r="J32" s="61" t="str">
        <f>ROUND(($B$11*$B$12+$B$15)*100,0)&amp;"%"</f>
        <v>0%</v>
      </c>
      <c r="K32" s="61" t="s">
        <v>2030</v>
      </c>
    </row>
    <row r="33" spans="1:11">
      <c r="A33">
        <v>21</v>
      </c>
      <c r="B33" t="s">
        <v>2046</v>
      </c>
      <c r="C33" t="s">
        <v>1965</v>
      </c>
      <c r="D33">
        <f>40+(21*52)</f>
        <v>1132</v>
      </c>
      <c r="E33">
        <f>$B$5</f>
        <v>50</v>
      </c>
      <c r="F33" t="str">
        <f>IF(E33&gt;=D33,"✅ Achieved","⏳ Upcoming")</f>
        <v>⏳ Upcoming</v>
      </c>
      <c r="H33" s="61" t="s">
        <v>2050</v>
      </c>
      <c r="I33" s="61" t="s">
        <v>2051</v>
      </c>
      <c r="J33" s="61" t="str">
        <f>ROUND($B$13*$B$14*100,0)&amp;"%"</f>
        <v>0%</v>
      </c>
      <c r="K33" s="61" t="s">
        <v>2028</v>
      </c>
    </row>
    <row r="34" spans="1:11">
      <c r="A34">
        <v>25</v>
      </c>
      <c r="B34" t="s">
        <v>2052</v>
      </c>
      <c r="C34" t="s">
        <v>2053</v>
      </c>
      <c r="D34">
        <f>40+(25*52)</f>
        <v>1340</v>
      </c>
      <c r="E34">
        <f>$B$5</f>
        <v>50</v>
      </c>
      <c r="F34" t="str">
        <f>IF(E34&gt;=D34,"✅ Achieved","⏳ Upcoming")</f>
        <v>⏳ Upcoming</v>
      </c>
      <c r="H34" s="61" t="s">
        <v>2005</v>
      </c>
      <c r="I34" s="61" t="s">
        <v>2054</v>
      </c>
      <c r="J34" s="61" t="str">
        <f>ROUND((AVERAGE($L$23:$L$24)/100)*$B$15*100,0)&amp;"%"</f>
        <v>0%</v>
      </c>
      <c r="K34" s="61" t="s">
        <v>2006</v>
      </c>
    </row>
    <row r="35" spans="1:11">
      <c r="A35">
        <v>30</v>
      </c>
      <c r="B35" t="s">
        <v>2052</v>
      </c>
      <c r="C35" t="s">
        <v>2055</v>
      </c>
      <c r="D35">
        <f>40+(30*52)</f>
        <v>1600</v>
      </c>
      <c r="E35">
        <f>$B$5</f>
        <v>50</v>
      </c>
      <c r="F35" t="str">
        <f>IF(E35&gt;=D35,"✅ Achieved","⏳ Upcoming")</f>
        <v>⏳ Upcoming</v>
      </c>
      <c r="H35" s="61" t="s">
        <v>2056</v>
      </c>
      <c r="I35" s="61" t="s">
        <v>2057</v>
      </c>
      <c r="J35" s="61" t="str">
        <f>ROUND($B$12*$B$11*100,0)&amp;"%"</f>
        <v>0%</v>
      </c>
      <c r="K35" s="61" t="s">
        <v>2058</v>
      </c>
    </row>
    <row r="36" spans="1:11">
      <c r="A36">
        <v>35</v>
      </c>
      <c r="B36" t="s">
        <v>2052</v>
      </c>
      <c r="C36" t="s">
        <v>2059</v>
      </c>
      <c r="D36">
        <f>40+(35*52)</f>
        <v>1860</v>
      </c>
      <c r="E36">
        <f>$B$5</f>
        <v>50</v>
      </c>
      <c r="F36" t="str">
        <f>IF(E36&gt;=D36,"✅ Achieved","⏳ Upcoming")</f>
        <v>⏳ Upcoming</v>
      </c>
      <c r="H36" s="61" t="s">
        <v>2060</v>
      </c>
      <c r="I36" s="61" t="s">
        <v>2061</v>
      </c>
      <c r="J36" s="61" t="str">
        <f>ROUND(($G$9/100)*$B$13*100,0)&amp;"%"</f>
        <v>0%</v>
      </c>
      <c r="K36" s="61" t="s">
        <v>2062</v>
      </c>
    </row>
    <row r="37" spans="1:11">
      <c r="A37">
        <v>40</v>
      </c>
      <c r="B37" t="s">
        <v>2063</v>
      </c>
      <c r="C37" t="s">
        <v>2064</v>
      </c>
      <c r="D37">
        <f>40+(40*52)</f>
        <v>2120</v>
      </c>
      <c r="E37">
        <f>$B$5</f>
        <v>50</v>
      </c>
      <c r="F37" t="str">
        <f>IF(E37&gt;=D37,"✅ Achieved","⏳ Upcoming")</f>
        <v>⏳ Upcoming</v>
      </c>
      <c r="H37" s="61" t="s">
        <v>2065</v>
      </c>
      <c r="I37" s="61" t="s">
        <v>2066</v>
      </c>
      <c r="J37" s="61" t="str">
        <f>ROUND((($G$11+$G$13)/200)*$B$14*100,0)&amp;"%"</f>
        <v>0%</v>
      </c>
      <c r="K37" s="61" t="s">
        <v>2067</v>
      </c>
    </row>
    <row r="38" spans="1:11">
      <c r="A38">
        <v>50</v>
      </c>
      <c r="B38" t="s">
        <v>2063</v>
      </c>
      <c r="C38" t="s">
        <v>2068</v>
      </c>
      <c r="D38">
        <f>40+(50*52)</f>
        <v>2640</v>
      </c>
      <c r="E38">
        <f>$B$5</f>
        <v>50</v>
      </c>
      <c r="F38" t="str">
        <f>IF(E38&gt;=D38,"✅ Achieved","⏳ Upcoming")</f>
        <v>⏳ Upcoming</v>
      </c>
      <c r="H38" s="61" t="s">
        <v>2069</v>
      </c>
      <c r="I38" s="61" t="s">
        <v>2070</v>
      </c>
      <c r="J38" s="61" t="str">
        <f>ROUND($G$14*$B$11*$B$12,0)&amp;"%"</f>
        <v>0%</v>
      </c>
      <c r="K38" s="61" t="s">
        <v>2071</v>
      </c>
    </row>
    <row r="39" spans="1:11">
      <c r="A39">
        <v>60</v>
      </c>
      <c r="B39" t="s">
        <v>2072</v>
      </c>
      <c r="C39" t="s">
        <v>2073</v>
      </c>
      <c r="D39">
        <f>40+(60*52)</f>
        <v>3160</v>
      </c>
      <c r="E39">
        <f>$B$5</f>
        <v>50</v>
      </c>
      <c r="F39" t="str">
        <f>IF(E39&gt;=D39,"✅ Achieved","⏳ Upcoming")</f>
        <v>⏳ Upcoming</v>
      </c>
    </row>
    <row r="40" spans="1:11">
      <c r="A40">
        <v>70</v>
      </c>
      <c r="B40" t="s">
        <v>2072</v>
      </c>
      <c r="C40" t="s">
        <v>2074</v>
      </c>
      <c r="D40">
        <f>40+(70*52)</f>
        <v>3680</v>
      </c>
      <c r="E40">
        <f>$B$5</f>
        <v>50</v>
      </c>
      <c r="F40" t="str">
        <f>IF(E40&gt;=D40,"✅ Achieved","⏳ Upcoming")</f>
        <v>⏳ Upcoming</v>
      </c>
    </row>
    <row r="41" spans="1:11">
      <c r="A41">
        <v>80</v>
      </c>
      <c r="B41" t="s">
        <v>2075</v>
      </c>
      <c r="C41" t="s">
        <v>2076</v>
      </c>
      <c r="D41">
        <f>40+(80*52)</f>
        <v>4200</v>
      </c>
      <c r="E41">
        <f>$B$5</f>
        <v>50</v>
      </c>
      <c r="F41" t="str">
        <f>IF(E41&gt;=D41,"✅ Achieved","⏳ Upcoming")</f>
        <v>⏳ Upcoming</v>
      </c>
    </row>
    <row r="43" spans="1:11" ht="15.75">
      <c r="A43" s="2" t="s">
        <v>1869</v>
      </c>
      <c r="F43" s="1" t="s">
        <v>2077</v>
      </c>
    </row>
    <row r="44" spans="1:11">
      <c r="A44" s="187" t="s">
        <v>955</v>
      </c>
      <c r="B44" s="187" t="s">
        <v>1152</v>
      </c>
      <c r="C44" s="187" t="s">
        <v>1154</v>
      </c>
      <c r="D44" s="187" t="s">
        <v>562</v>
      </c>
      <c r="F44" t="s">
        <v>1986</v>
      </c>
      <c r="G44">
        <f>COUNTA(A19:A28)</f>
        <v>10</v>
      </c>
    </row>
    <row r="45" spans="1:11">
      <c r="A45" s="61" t="s">
        <v>833</v>
      </c>
      <c r="B45" s="61" t="s">
        <v>1742</v>
      </c>
      <c r="C45" s="61" t="s">
        <v>1872</v>
      </c>
      <c r="D45" s="61" t="s">
        <v>1987</v>
      </c>
      <c r="F45" t="s">
        <v>1871</v>
      </c>
      <c r="G45">
        <f>COUNTIF(B19:B28,"Cognitive")</f>
        <v>5</v>
      </c>
    </row>
    <row r="46" spans="1:11">
      <c r="A46" s="61" t="s">
        <v>2078</v>
      </c>
      <c r="B46" s="61" t="s">
        <v>2079</v>
      </c>
      <c r="C46" s="61" t="s">
        <v>2080</v>
      </c>
      <c r="D46" s="61" t="s">
        <v>1987</v>
      </c>
      <c r="F46" t="s">
        <v>1873</v>
      </c>
      <c r="G46">
        <f>COUNTIF(B19:B28,"Language")</f>
        <v>2</v>
      </c>
    </row>
    <row r="47" spans="1:11">
      <c r="A47" s="61" t="s">
        <v>1988</v>
      </c>
      <c r="B47" s="61" t="s">
        <v>2081</v>
      </c>
      <c r="C47" s="61" t="s">
        <v>2082</v>
      </c>
      <c r="D47" s="61" t="s">
        <v>1987</v>
      </c>
      <c r="F47" t="s">
        <v>1993</v>
      </c>
      <c r="G47">
        <f>COUNTIF(B19:B28,"Motor")</f>
        <v>2</v>
      </c>
    </row>
    <row r="48" spans="1:11">
      <c r="A48" s="61" t="s">
        <v>1170</v>
      </c>
      <c r="B48" s="61" t="s">
        <v>1798</v>
      </c>
      <c r="C48" s="61" t="s">
        <v>2083</v>
      </c>
      <c r="D48" s="61" t="s">
        <v>1987</v>
      </c>
      <c r="F48" t="s">
        <v>1994</v>
      </c>
      <c r="G48">
        <f>COUNTIF(B19:B28,"Metabolic")</f>
        <v>1</v>
      </c>
    </row>
    <row r="49" spans="1:7">
      <c r="A49" s="61" t="s">
        <v>842</v>
      </c>
      <c r="B49" s="61" t="s">
        <v>534</v>
      </c>
      <c r="C49" s="61" t="s">
        <v>1876</v>
      </c>
      <c r="D49" s="61" t="s">
        <v>1987</v>
      </c>
      <c r="F49" t="s">
        <v>1637</v>
      </c>
      <c r="G49" t="str">
        <f>COUNTIF(F32:F41,"✅ Achieved")&amp;" of 10"</f>
        <v>0 of 10</v>
      </c>
    </row>
    <row r="50" spans="1:7">
      <c r="A50" s="61" t="s">
        <v>1350</v>
      </c>
      <c r="B50" s="61" t="s">
        <v>2084</v>
      </c>
      <c r="C50" s="61" t="s">
        <v>2085</v>
      </c>
      <c r="D50" s="61" t="s">
        <v>1987</v>
      </c>
      <c r="F50" t="s">
        <v>2086</v>
      </c>
      <c r="G50" t="str">
        <f>COUNTIF(K19:K28,"✅ Mature")&amp;" of 10"</f>
        <v>0 of 10</v>
      </c>
    </row>
  </sheetData>
  <mergeCells count="1"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7021-4293-43C2-A5AC-C3E29013AD0E}">
  <dimension ref="A1:N69"/>
  <sheetViews>
    <sheetView workbookViewId="0">
      <selection sqref="A1:N1"/>
    </sheetView>
  </sheetViews>
  <sheetFormatPr defaultRowHeight="15"/>
  <cols>
    <col min="1" max="1" width="38.42578125" bestFit="1" customWidth="1"/>
    <col min="2" max="2" width="19.7109375" bestFit="1" customWidth="1"/>
    <col min="3" max="3" width="13.85546875" bestFit="1" customWidth="1"/>
    <col min="4" max="4" width="26" bestFit="1" customWidth="1"/>
    <col min="5" max="5" width="19.28515625" bestFit="1" customWidth="1"/>
    <col min="6" max="6" width="22.42578125" bestFit="1" customWidth="1"/>
    <col min="7" max="7" width="34.140625" bestFit="1" customWidth="1"/>
    <col min="8" max="8" width="23" bestFit="1" customWidth="1"/>
    <col min="9" max="9" width="24.7109375" bestFit="1" customWidth="1"/>
    <col min="10" max="10" width="24.85546875" bestFit="1" customWidth="1"/>
    <col min="11" max="11" width="18.7109375" bestFit="1" customWidth="1"/>
    <col min="12" max="12" width="16.28515625" bestFit="1" customWidth="1"/>
    <col min="13" max="13" width="22.42578125" bestFit="1" customWidth="1"/>
  </cols>
  <sheetData>
    <row r="1" spans="1:14" ht="21">
      <c r="A1" s="352" t="s">
        <v>2087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3" spans="1:14" ht="15.75">
      <c r="A3" s="2" t="s">
        <v>2088</v>
      </c>
      <c r="F3" s="2" t="s">
        <v>2089</v>
      </c>
    </row>
    <row r="4" spans="1:14">
      <c r="A4" s="187" t="s">
        <v>591</v>
      </c>
      <c r="B4" s="187" t="s">
        <v>592</v>
      </c>
      <c r="C4" s="187" t="s">
        <v>593</v>
      </c>
      <c r="D4" s="187" t="s">
        <v>703</v>
      </c>
      <c r="F4" s="187" t="s">
        <v>597</v>
      </c>
      <c r="G4" s="187" t="e" cm="1">
        <f t="array" aca="1" ref="G4" ca="1">+Direction</f>
        <v>#NAME?</v>
      </c>
      <c r="H4" s="187" t="e" cm="1">
        <f t="array" aca="1" ref="H4" ca="1">-Direction</f>
        <v>#NAME?</v>
      </c>
      <c r="I4" s="187" t="s">
        <v>2090</v>
      </c>
    </row>
    <row r="5" spans="1:14">
      <c r="A5" s="61" t="s">
        <v>2091</v>
      </c>
      <c r="B5" s="61">
        <v>0</v>
      </c>
      <c r="C5" s="61" t="s">
        <v>2092</v>
      </c>
      <c r="D5" s="61" t="s">
        <v>2093</v>
      </c>
      <c r="F5" s="55" t="s">
        <v>2094</v>
      </c>
      <c r="G5" s="55" t="s">
        <v>2095</v>
      </c>
      <c r="H5" s="55" t="s">
        <v>2096</v>
      </c>
      <c r="I5" s="55" t="s">
        <v>2097</v>
      </c>
    </row>
    <row r="6" spans="1:14">
      <c r="A6" s="61" t="s">
        <v>2098</v>
      </c>
      <c r="B6" s="61">
        <v>0</v>
      </c>
      <c r="C6" s="61" t="s">
        <v>2092</v>
      </c>
      <c r="D6" s="61" t="s">
        <v>2099</v>
      </c>
      <c r="F6" s="55" t="s">
        <v>2100</v>
      </c>
      <c r="G6" s="55" t="s">
        <v>2101</v>
      </c>
      <c r="H6" s="55" t="s">
        <v>2102</v>
      </c>
      <c r="I6" s="55" t="s">
        <v>2103</v>
      </c>
    </row>
    <row r="7" spans="1:14">
      <c r="A7" s="61" t="s">
        <v>2104</v>
      </c>
      <c r="B7" s="61">
        <v>0</v>
      </c>
      <c r="C7" s="61" t="s">
        <v>2105</v>
      </c>
      <c r="D7" s="61" t="s">
        <v>2106</v>
      </c>
      <c r="F7" s="55" t="s">
        <v>2107</v>
      </c>
      <c r="G7" s="55" t="s">
        <v>2108</v>
      </c>
      <c r="H7" s="55" t="s">
        <v>2109</v>
      </c>
      <c r="I7" s="55" t="s">
        <v>2110</v>
      </c>
    </row>
    <row r="8" spans="1:14">
      <c r="A8" s="61" t="s">
        <v>2111</v>
      </c>
      <c r="B8" s="61" t="s">
        <v>2112</v>
      </c>
      <c r="C8" s="61"/>
      <c r="D8" s="61" t="s">
        <v>2113</v>
      </c>
    </row>
    <row r="9" spans="1:14">
      <c r="A9" s="61" t="s">
        <v>2114</v>
      </c>
      <c r="B9" s="61" t="s">
        <v>2115</v>
      </c>
      <c r="C9" s="61"/>
      <c r="D9" s="61" t="s">
        <v>2116</v>
      </c>
    </row>
    <row r="10" spans="1:14">
      <c r="A10" s="61" t="s">
        <v>2117</v>
      </c>
      <c r="B10" s="61">
        <v>1</v>
      </c>
      <c r="C10" s="61" t="s">
        <v>2118</v>
      </c>
      <c r="D10" s="61" t="s">
        <v>2119</v>
      </c>
    </row>
    <row r="12" spans="1:14" ht="15.75">
      <c r="A12" s="2" t="s">
        <v>2120</v>
      </c>
    </row>
    <row r="13" spans="1:14">
      <c r="A13" s="188" t="s">
        <v>41</v>
      </c>
      <c r="B13" s="188" t="s">
        <v>2121</v>
      </c>
      <c r="C13" s="188" t="s">
        <v>1150</v>
      </c>
      <c r="D13" s="188" t="s">
        <v>50</v>
      </c>
      <c r="E13" s="188" t="s">
        <v>2122</v>
      </c>
      <c r="F13" s="188" t="s">
        <v>51</v>
      </c>
      <c r="G13" s="188" t="s">
        <v>52</v>
      </c>
      <c r="H13" s="188" t="s">
        <v>53</v>
      </c>
      <c r="I13" s="188" t="s">
        <v>47</v>
      </c>
      <c r="J13" s="188" t="s">
        <v>2123</v>
      </c>
      <c r="K13" s="188" t="s">
        <v>2124</v>
      </c>
      <c r="L13" s="188" t="s">
        <v>2125</v>
      </c>
      <c r="M13" s="188" t="s">
        <v>504</v>
      </c>
    </row>
    <row r="14" spans="1:14">
      <c r="A14" s="3" t="s">
        <v>66</v>
      </c>
      <c r="B14" s="3" t="s">
        <v>2126</v>
      </c>
      <c r="C14" s="3" t="s">
        <v>1152</v>
      </c>
      <c r="D14" s="3" t="s">
        <v>2127</v>
      </c>
      <c r="E14" s="3" t="s">
        <v>2128</v>
      </c>
      <c r="F14" s="3">
        <v>0</v>
      </c>
      <c r="G14" s="3">
        <v>0</v>
      </c>
      <c r="H14" s="3">
        <v>0</v>
      </c>
      <c r="I14" s="3" t="s">
        <v>2129</v>
      </c>
      <c r="J14" s="3" t="s">
        <v>2130</v>
      </c>
      <c r="K14" s="3" t="s">
        <v>2131</v>
      </c>
      <c r="L14" s="3">
        <v>0</v>
      </c>
      <c r="M14" s="3" t="s">
        <v>2132</v>
      </c>
    </row>
    <row r="15" spans="1:14">
      <c r="A15" s="189" t="s">
        <v>2133</v>
      </c>
      <c r="B15" s="189" t="s">
        <v>2126</v>
      </c>
      <c r="C15" s="189" t="s">
        <v>2134</v>
      </c>
      <c r="D15" s="189" t="s">
        <v>66</v>
      </c>
      <c r="E15" s="189" t="s">
        <v>2128</v>
      </c>
      <c r="F15" s="189">
        <v>0</v>
      </c>
      <c r="G15" s="189">
        <v>0</v>
      </c>
      <c r="H15" s="189">
        <v>0</v>
      </c>
      <c r="I15" s="189" t="s">
        <v>2129</v>
      </c>
      <c r="J15" s="189" t="s">
        <v>2135</v>
      </c>
      <c r="K15" s="189" t="s">
        <v>2136</v>
      </c>
      <c r="L15" s="189" t="s">
        <v>2137</v>
      </c>
      <c r="M15" s="189" t="s">
        <v>2138</v>
      </c>
    </row>
    <row r="16" spans="1:14">
      <c r="A16" s="189" t="s">
        <v>2139</v>
      </c>
      <c r="B16" s="189" t="s">
        <v>2126</v>
      </c>
      <c r="C16" s="189" t="s">
        <v>2140</v>
      </c>
      <c r="D16" s="189" t="s">
        <v>2133</v>
      </c>
      <c r="E16" s="189" t="s">
        <v>2128</v>
      </c>
      <c r="F16" s="189">
        <v>0</v>
      </c>
      <c r="G16" s="189">
        <v>0</v>
      </c>
      <c r="H16" s="189">
        <v>0</v>
      </c>
      <c r="I16" s="189" t="s">
        <v>2129</v>
      </c>
      <c r="J16" s="189" t="s">
        <v>2141</v>
      </c>
      <c r="K16" s="189" t="s">
        <v>2136</v>
      </c>
      <c r="L16" s="189" t="s">
        <v>2142</v>
      </c>
      <c r="M16" s="189" t="s">
        <v>2143</v>
      </c>
    </row>
    <row r="17" spans="1:13">
      <c r="A17" s="189" t="s">
        <v>2144</v>
      </c>
      <c r="B17" s="189" t="s">
        <v>2121</v>
      </c>
      <c r="C17" s="189" t="s">
        <v>2140</v>
      </c>
      <c r="D17" s="189" t="s">
        <v>2139</v>
      </c>
      <c r="E17" s="189" t="s">
        <v>2128</v>
      </c>
      <c r="F17" s="189">
        <v>0</v>
      </c>
      <c r="G17" s="189">
        <v>0</v>
      </c>
      <c r="H17" s="189">
        <v>0</v>
      </c>
      <c r="I17" s="189" t="s">
        <v>2129</v>
      </c>
      <c r="J17" s="189" t="s">
        <v>2145</v>
      </c>
      <c r="K17" s="189" t="s">
        <v>2146</v>
      </c>
      <c r="L17" s="189" t="s">
        <v>2147</v>
      </c>
      <c r="M17" s="189" t="s">
        <v>2148</v>
      </c>
    </row>
    <row r="18" spans="1:13">
      <c r="A18" s="190" t="s">
        <v>2149</v>
      </c>
      <c r="B18" s="190" t="s">
        <v>2121</v>
      </c>
      <c r="C18" s="190" t="s">
        <v>2140</v>
      </c>
      <c r="D18" s="190" t="s">
        <v>2144</v>
      </c>
      <c r="E18" s="190" t="s">
        <v>2128</v>
      </c>
      <c r="F18" s="190">
        <v>0</v>
      </c>
      <c r="G18" s="190">
        <v>0</v>
      </c>
      <c r="H18" s="190">
        <v>0</v>
      </c>
      <c r="I18" s="190" t="s">
        <v>2129</v>
      </c>
      <c r="J18" s="190" t="s">
        <v>2150</v>
      </c>
      <c r="K18" s="190" t="s">
        <v>2151</v>
      </c>
      <c r="L18" s="190" t="s">
        <v>2152</v>
      </c>
      <c r="M18" s="190" t="s">
        <v>2153</v>
      </c>
    </row>
    <row r="19" spans="1:13">
      <c r="A19" s="190" t="s">
        <v>2154</v>
      </c>
      <c r="B19" s="190" t="s">
        <v>2155</v>
      </c>
      <c r="C19" s="190" t="s">
        <v>2156</v>
      </c>
      <c r="D19" s="190" t="s">
        <v>2149</v>
      </c>
      <c r="E19" s="190" t="s">
        <v>2157</v>
      </c>
      <c r="F19" s="190" t="s">
        <v>2158</v>
      </c>
      <c r="G19" s="190" t="s">
        <v>2158</v>
      </c>
      <c r="H19" s="190" t="s">
        <v>2158</v>
      </c>
      <c r="I19" s="190" t="s">
        <v>2129</v>
      </c>
      <c r="J19" s="190" t="s">
        <v>2159</v>
      </c>
      <c r="K19" s="190" t="s">
        <v>2160</v>
      </c>
      <c r="L19" s="190" t="s">
        <v>2158</v>
      </c>
      <c r="M19" s="190" t="s">
        <v>2161</v>
      </c>
    </row>
    <row r="20" spans="1:13">
      <c r="A20" s="191" t="s">
        <v>2162</v>
      </c>
      <c r="B20" s="191" t="s">
        <v>2155</v>
      </c>
      <c r="C20" s="191" t="s">
        <v>785</v>
      </c>
      <c r="D20" s="191" t="s">
        <v>2149</v>
      </c>
      <c r="E20" s="191" t="s">
        <v>2157</v>
      </c>
      <c r="F20" s="191" t="s">
        <v>2158</v>
      </c>
      <c r="G20" s="191" t="s">
        <v>2158</v>
      </c>
      <c r="H20" s="191" t="s">
        <v>2158</v>
      </c>
      <c r="I20" s="191" t="s">
        <v>2129</v>
      </c>
      <c r="J20" s="191" t="s">
        <v>2163</v>
      </c>
      <c r="K20" s="191" t="s">
        <v>2164</v>
      </c>
      <c r="L20" s="191" t="s">
        <v>2165</v>
      </c>
      <c r="M20" s="191" t="s">
        <v>2166</v>
      </c>
    </row>
    <row r="21" spans="1:13">
      <c r="A21" s="191" t="s">
        <v>2167</v>
      </c>
      <c r="B21" s="191" t="s">
        <v>2168</v>
      </c>
      <c r="C21" s="191" t="s">
        <v>2169</v>
      </c>
      <c r="D21" s="191" t="s">
        <v>2149</v>
      </c>
      <c r="E21" s="191" t="s">
        <v>2128</v>
      </c>
      <c r="F21" s="191">
        <v>0</v>
      </c>
      <c r="G21" s="191">
        <v>0</v>
      </c>
      <c r="H21" s="191">
        <v>0</v>
      </c>
      <c r="I21" s="191" t="s">
        <v>2129</v>
      </c>
      <c r="J21" s="191" t="s">
        <v>2170</v>
      </c>
      <c r="K21" s="191" t="s">
        <v>2171</v>
      </c>
      <c r="L21" s="191" t="s">
        <v>2172</v>
      </c>
      <c r="M21" s="191" t="s">
        <v>2173</v>
      </c>
    </row>
    <row r="22" spans="1:13">
      <c r="A22" s="55" t="s">
        <v>2174</v>
      </c>
      <c r="B22" s="55" t="s">
        <v>2168</v>
      </c>
      <c r="C22" s="55" t="s">
        <v>2169</v>
      </c>
      <c r="D22" s="55" t="s">
        <v>2167</v>
      </c>
      <c r="E22" s="55" t="s">
        <v>2128</v>
      </c>
      <c r="F22" s="55">
        <v>0</v>
      </c>
      <c r="G22" s="55">
        <v>0</v>
      </c>
      <c r="H22" s="55">
        <v>0</v>
      </c>
      <c r="I22" s="55" t="s">
        <v>2129</v>
      </c>
      <c r="J22" s="55" t="s">
        <v>2170</v>
      </c>
      <c r="K22" s="55" t="s">
        <v>2175</v>
      </c>
      <c r="L22" s="55" t="s">
        <v>2176</v>
      </c>
      <c r="M22" s="55" t="s">
        <v>2177</v>
      </c>
    </row>
    <row r="23" spans="1:13">
      <c r="A23" s="55" t="s">
        <v>2178</v>
      </c>
      <c r="B23" s="55" t="s">
        <v>2168</v>
      </c>
      <c r="C23" s="55" t="s">
        <v>2169</v>
      </c>
      <c r="D23" s="55" t="s">
        <v>2174</v>
      </c>
      <c r="E23" s="55" t="s">
        <v>2128</v>
      </c>
      <c r="F23" s="55">
        <v>0</v>
      </c>
      <c r="G23" s="55">
        <v>0</v>
      </c>
      <c r="H23" s="55">
        <v>0</v>
      </c>
      <c r="I23" s="55" t="s">
        <v>2129</v>
      </c>
      <c r="J23" s="55" t="s">
        <v>2170</v>
      </c>
      <c r="K23" s="55" t="s">
        <v>2179</v>
      </c>
      <c r="L23" s="55" t="s">
        <v>2180</v>
      </c>
      <c r="M23" s="55" t="s">
        <v>2181</v>
      </c>
    </row>
    <row r="24" spans="1:13">
      <c r="A24" s="55" t="s">
        <v>2182</v>
      </c>
      <c r="B24" s="55" t="s">
        <v>2168</v>
      </c>
      <c r="C24" s="55" t="s">
        <v>2169</v>
      </c>
      <c r="D24" s="55" t="s">
        <v>2178</v>
      </c>
      <c r="E24" s="55" t="s">
        <v>2128</v>
      </c>
      <c r="F24" s="55">
        <v>0</v>
      </c>
      <c r="G24" s="55">
        <v>0</v>
      </c>
      <c r="H24" s="55">
        <v>0</v>
      </c>
      <c r="I24" s="55" t="s">
        <v>2129</v>
      </c>
      <c r="J24" s="55" t="s">
        <v>2183</v>
      </c>
      <c r="K24" s="55" t="s">
        <v>2184</v>
      </c>
      <c r="L24" s="55" t="s">
        <v>2185</v>
      </c>
      <c r="M24" s="55" t="s">
        <v>2186</v>
      </c>
    </row>
    <row r="25" spans="1:13">
      <c r="A25" s="55" t="s">
        <v>2187</v>
      </c>
      <c r="B25" s="55" t="s">
        <v>2168</v>
      </c>
      <c r="C25" s="55" t="s">
        <v>2169</v>
      </c>
      <c r="D25" s="55" t="s">
        <v>2182</v>
      </c>
      <c r="E25" s="55" t="s">
        <v>2128</v>
      </c>
      <c r="F25" s="55">
        <v>0</v>
      </c>
      <c r="G25" s="55">
        <v>0</v>
      </c>
      <c r="H25" s="55">
        <v>0</v>
      </c>
      <c r="I25" s="55" t="s">
        <v>2129</v>
      </c>
      <c r="J25" s="55" t="s">
        <v>2188</v>
      </c>
      <c r="K25" s="55" t="s">
        <v>2189</v>
      </c>
      <c r="L25" s="55" t="s">
        <v>2190</v>
      </c>
      <c r="M25" s="55" t="s">
        <v>2191</v>
      </c>
    </row>
    <row r="26" spans="1:13">
      <c r="A26" s="55" t="s">
        <v>2192</v>
      </c>
      <c r="B26" s="55" t="s">
        <v>2193</v>
      </c>
      <c r="C26" s="55" t="s">
        <v>2193</v>
      </c>
      <c r="D26" s="55" t="s">
        <v>2133</v>
      </c>
      <c r="E26" s="55" t="s">
        <v>2128</v>
      </c>
      <c r="F26" s="55">
        <v>0</v>
      </c>
      <c r="G26" s="55">
        <v>0</v>
      </c>
      <c r="H26" s="55">
        <v>0</v>
      </c>
      <c r="I26" s="55" t="s">
        <v>2129</v>
      </c>
      <c r="J26" s="55" t="s">
        <v>2194</v>
      </c>
      <c r="K26" s="55" t="s">
        <v>2195</v>
      </c>
      <c r="L26" s="55" t="s">
        <v>2196</v>
      </c>
      <c r="M26" s="55" t="s">
        <v>2197</v>
      </c>
    </row>
    <row r="27" spans="1:13">
      <c r="A27" s="61" t="s">
        <v>2198</v>
      </c>
      <c r="B27" s="61" t="s">
        <v>2199</v>
      </c>
      <c r="C27" s="61" t="s">
        <v>2200</v>
      </c>
      <c r="D27" s="61" t="s">
        <v>66</v>
      </c>
      <c r="E27" s="61" t="s">
        <v>2201</v>
      </c>
      <c r="F27" s="61" t="s">
        <v>2158</v>
      </c>
      <c r="G27" s="61" t="s">
        <v>2158</v>
      </c>
      <c r="H27" s="61" t="s">
        <v>2158</v>
      </c>
      <c r="I27" s="61" t="s">
        <v>2129</v>
      </c>
      <c r="J27" s="61" t="s">
        <v>2202</v>
      </c>
      <c r="K27" s="61" t="s">
        <v>2203</v>
      </c>
      <c r="L27" s="61" t="s">
        <v>2204</v>
      </c>
      <c r="M27" s="61" t="s">
        <v>2205</v>
      </c>
    </row>
    <row r="28" spans="1:13">
      <c r="A28" s="61" t="s">
        <v>2206</v>
      </c>
      <c r="B28" s="61" t="s">
        <v>2207</v>
      </c>
      <c r="C28" s="61" t="s">
        <v>2208</v>
      </c>
      <c r="D28" s="61" t="s">
        <v>2133</v>
      </c>
      <c r="E28" s="61" t="s">
        <v>2128</v>
      </c>
      <c r="F28" s="61">
        <v>0</v>
      </c>
      <c r="G28" s="61">
        <v>0</v>
      </c>
      <c r="H28" s="61">
        <v>0</v>
      </c>
      <c r="I28" s="61" t="s">
        <v>2129</v>
      </c>
      <c r="J28" s="61" t="s">
        <v>2135</v>
      </c>
      <c r="K28" s="61" t="s">
        <v>2193</v>
      </c>
      <c r="L28" s="61" t="s">
        <v>2209</v>
      </c>
      <c r="M28" s="61" t="s">
        <v>2210</v>
      </c>
    </row>
    <row r="30" spans="1:13" ht="15.75">
      <c r="A30" s="2" t="s">
        <v>2211</v>
      </c>
      <c r="G30" s="2" t="s">
        <v>2212</v>
      </c>
    </row>
    <row r="31" spans="1:13">
      <c r="A31" s="187" t="s">
        <v>2213</v>
      </c>
      <c r="B31" s="187" t="s">
        <v>2214</v>
      </c>
      <c r="C31" s="187" t="s">
        <v>592</v>
      </c>
      <c r="D31" s="187" t="s">
        <v>593</v>
      </c>
      <c r="E31" s="187" t="s">
        <v>2215</v>
      </c>
      <c r="G31" s="187" t="s">
        <v>2216</v>
      </c>
      <c r="H31" s="187" t="s">
        <v>1586</v>
      </c>
      <c r="I31" s="187" t="s">
        <v>703</v>
      </c>
    </row>
    <row r="32" spans="1:13">
      <c r="A32" s="64" t="s">
        <v>2217</v>
      </c>
      <c r="B32" s="64" t="s">
        <v>2218</v>
      </c>
      <c r="C32" s="192">
        <v>6.6739999999999994E-11</v>
      </c>
      <c r="D32" s="64" t="s">
        <v>2219</v>
      </c>
      <c r="E32" s="64" t="s">
        <v>2220</v>
      </c>
      <c r="G32" s="61" t="s">
        <v>2221</v>
      </c>
      <c r="H32" s="61" t="s">
        <v>2222</v>
      </c>
      <c r="I32" s="61" t="s">
        <v>2223</v>
      </c>
    </row>
    <row r="33" spans="1:10">
      <c r="A33" s="64" t="s">
        <v>2224</v>
      </c>
      <c r="B33" s="64" t="s">
        <v>2225</v>
      </c>
      <c r="C33" s="192">
        <v>5.9720000000000003E+24</v>
      </c>
      <c r="D33" s="64" t="s">
        <v>1142</v>
      </c>
      <c r="E33" s="64" t="s">
        <v>2226</v>
      </c>
      <c r="G33" s="61" t="s">
        <v>2227</v>
      </c>
      <c r="H33" s="61" t="s">
        <v>2228</v>
      </c>
      <c r="I33" s="61" t="s">
        <v>2229</v>
      </c>
    </row>
    <row r="34" spans="1:10">
      <c r="A34" s="64" t="s">
        <v>2230</v>
      </c>
      <c r="B34" s="64" t="s">
        <v>2231</v>
      </c>
      <c r="C34" s="64">
        <v>6371000</v>
      </c>
      <c r="D34" s="64" t="s">
        <v>596</v>
      </c>
      <c r="E34" s="64" t="s">
        <v>2232</v>
      </c>
      <c r="G34" s="61" t="s">
        <v>2233</v>
      </c>
      <c r="H34" s="61" t="s">
        <v>2234</v>
      </c>
      <c r="I34" s="61" t="s">
        <v>2235</v>
      </c>
    </row>
    <row r="35" spans="1:10">
      <c r="A35" s="64" t="s">
        <v>2236</v>
      </c>
      <c r="B35" s="64" t="s">
        <v>2237</v>
      </c>
      <c r="C35" s="64">
        <v>9.81</v>
      </c>
      <c r="D35" s="64" t="s">
        <v>2238</v>
      </c>
      <c r="E35" s="64" t="s">
        <v>2239</v>
      </c>
      <c r="G35" s="61" t="s">
        <v>2240</v>
      </c>
      <c r="H35" s="61" t="s">
        <v>2241</v>
      </c>
      <c r="I35" s="61" t="s">
        <v>2242</v>
      </c>
    </row>
    <row r="36" spans="1:10">
      <c r="A36" s="64" t="s">
        <v>2243</v>
      </c>
      <c r="B36" s="64" t="s">
        <v>2244</v>
      </c>
      <c r="C36" s="64">
        <v>101325</v>
      </c>
      <c r="D36" s="64" t="s">
        <v>2245</v>
      </c>
      <c r="E36" s="64" t="s">
        <v>2246</v>
      </c>
      <c r="G36" s="61" t="s">
        <v>2247</v>
      </c>
      <c r="H36" s="61" t="s">
        <v>2248</v>
      </c>
      <c r="I36" s="61" t="s">
        <v>2249</v>
      </c>
    </row>
    <row r="37" spans="1:10">
      <c r="A37" s="64" t="s">
        <v>2250</v>
      </c>
      <c r="B37" s="64" t="s">
        <v>2251</v>
      </c>
      <c r="C37" s="64">
        <v>1.2250000000000001</v>
      </c>
      <c r="D37" s="64" t="s">
        <v>2252</v>
      </c>
      <c r="E37" s="64" t="s">
        <v>2253</v>
      </c>
      <c r="G37" s="61" t="s">
        <v>2254</v>
      </c>
      <c r="H37" s="61" t="s">
        <v>2255</v>
      </c>
      <c r="I37" s="61" t="s">
        <v>2256</v>
      </c>
    </row>
    <row r="38" spans="1:10">
      <c r="A38" s="64" t="s">
        <v>2257</v>
      </c>
      <c r="B38" s="64" t="s">
        <v>2258</v>
      </c>
      <c r="C38" s="64">
        <v>1000</v>
      </c>
      <c r="D38" s="64" t="s">
        <v>2252</v>
      </c>
      <c r="E38" s="64" t="s">
        <v>2259</v>
      </c>
      <c r="G38" s="61" t="s">
        <v>2260</v>
      </c>
      <c r="H38" s="61" t="s">
        <v>2261</v>
      </c>
      <c r="I38" s="61" t="s">
        <v>2262</v>
      </c>
    </row>
    <row r="39" spans="1:10">
      <c r="A39" s="64" t="s">
        <v>2263</v>
      </c>
      <c r="B39" s="64" t="s">
        <v>2264</v>
      </c>
      <c r="C39" s="64">
        <v>299792458</v>
      </c>
      <c r="D39" s="64" t="s">
        <v>2265</v>
      </c>
      <c r="E39" s="64" t="s">
        <v>2266</v>
      </c>
      <c r="G39" s="61" t="s">
        <v>2267</v>
      </c>
      <c r="H39" s="61" t="s">
        <v>2268</v>
      </c>
      <c r="I39" s="61" t="s">
        <v>2269</v>
      </c>
    </row>
    <row r="40" spans="1:10">
      <c r="A40" s="64" t="s">
        <v>2270</v>
      </c>
      <c r="B40" s="64" t="s">
        <v>2271</v>
      </c>
      <c r="C40" s="64">
        <v>343</v>
      </c>
      <c r="D40" s="64" t="s">
        <v>2265</v>
      </c>
      <c r="E40" s="64" t="s">
        <v>2272</v>
      </c>
      <c r="G40" s="61" t="s">
        <v>2273</v>
      </c>
      <c r="H40" s="61" t="s">
        <v>2274</v>
      </c>
      <c r="I40" s="61" t="s">
        <v>2275</v>
      </c>
    </row>
    <row r="41" spans="1:10">
      <c r="A41" s="64" t="s">
        <v>2276</v>
      </c>
      <c r="B41" s="64" t="s">
        <v>2277</v>
      </c>
      <c r="C41" s="192">
        <v>5.6699999999999998E-8</v>
      </c>
      <c r="D41" s="64" t="s">
        <v>2278</v>
      </c>
      <c r="E41" s="64" t="s">
        <v>2279</v>
      </c>
      <c r="G41" s="61" t="s">
        <v>2280</v>
      </c>
      <c r="H41" s="61" t="s">
        <v>2281</v>
      </c>
      <c r="I41" s="61" t="s">
        <v>2282</v>
      </c>
    </row>
    <row r="42" spans="1:10">
      <c r="A42" s="64" t="s">
        <v>2283</v>
      </c>
      <c r="B42" s="64" t="s">
        <v>2284</v>
      </c>
      <c r="C42" s="64">
        <v>1361</v>
      </c>
      <c r="D42" s="64" t="s">
        <v>2285</v>
      </c>
      <c r="E42" s="64" t="s">
        <v>2286</v>
      </c>
    </row>
    <row r="44" spans="1:10" ht="15.75">
      <c r="A44" s="2" t="s">
        <v>2287</v>
      </c>
      <c r="G44" s="2" t="s">
        <v>2288</v>
      </c>
    </row>
    <row r="45" spans="1:10">
      <c r="A45" s="187" t="s">
        <v>591</v>
      </c>
      <c r="B45" s="187" t="s">
        <v>592</v>
      </c>
      <c r="C45" s="187" t="s">
        <v>593</v>
      </c>
      <c r="D45" s="187" t="s">
        <v>2289</v>
      </c>
      <c r="E45" s="187" t="s">
        <v>562</v>
      </c>
      <c r="G45" s="187" t="s">
        <v>2290</v>
      </c>
      <c r="H45" s="187" t="s">
        <v>2291</v>
      </c>
      <c r="I45" s="187" t="s">
        <v>2292</v>
      </c>
      <c r="J45" s="187" t="s">
        <v>562</v>
      </c>
    </row>
    <row r="46" spans="1:10">
      <c r="A46" s="55" t="s">
        <v>2293</v>
      </c>
      <c r="B46" s="55">
        <f>'DNA Loop Engine'!B4</f>
        <v>4000</v>
      </c>
      <c r="C46" s="55" t="s">
        <v>2294</v>
      </c>
      <c r="D46" s="55" t="s">
        <v>1761</v>
      </c>
      <c r="E46" s="55" t="s">
        <v>1521</v>
      </c>
      <c r="G46" s="61" t="s">
        <v>2295</v>
      </c>
      <c r="H46" s="61" t="s">
        <v>2296</v>
      </c>
      <c r="I46" s="61" t="s">
        <v>2297</v>
      </c>
      <c r="J46" s="61" t="s">
        <v>1521</v>
      </c>
    </row>
    <row r="47" spans="1:10">
      <c r="A47" s="55" t="s">
        <v>2298</v>
      </c>
      <c r="B47" s="55">
        <f>'DNA Loop Engine'!B5</f>
        <v>50</v>
      </c>
      <c r="C47" s="55" t="s">
        <v>668</v>
      </c>
      <c r="D47" s="55" t="s">
        <v>1761</v>
      </c>
      <c r="E47" s="55" t="s">
        <v>1521</v>
      </c>
      <c r="G47" s="61" t="s">
        <v>2299</v>
      </c>
      <c r="H47" s="61" t="s">
        <v>2300</v>
      </c>
      <c r="I47" s="61" t="s">
        <v>2301</v>
      </c>
      <c r="J47" s="61" t="s">
        <v>1521</v>
      </c>
    </row>
    <row r="48" spans="1:10">
      <c r="A48" s="55" t="s">
        <v>2301</v>
      </c>
      <c r="B48" s="55">
        <f>20+5*SIN(B47/52*2*PI())</f>
        <v>18.803421678562209</v>
      </c>
      <c r="C48" s="55" t="s">
        <v>2302</v>
      </c>
      <c r="D48" s="55" t="s">
        <v>2303</v>
      </c>
      <c r="E48" s="55" t="s">
        <v>2304</v>
      </c>
      <c r="G48" s="61" t="s">
        <v>2305</v>
      </c>
      <c r="H48" s="61" t="s">
        <v>2306</v>
      </c>
      <c r="I48" s="61" t="s">
        <v>2307</v>
      </c>
      <c r="J48" s="61" t="s">
        <v>1521</v>
      </c>
    </row>
    <row r="49" spans="1:12">
      <c r="A49" s="55" t="s">
        <v>2243</v>
      </c>
      <c r="B49" s="55">
        <f>101325</f>
        <v>101325</v>
      </c>
      <c r="C49" s="55" t="s">
        <v>2245</v>
      </c>
      <c r="D49" s="55" t="s">
        <v>2308</v>
      </c>
      <c r="E49" s="55" t="s">
        <v>2309</v>
      </c>
      <c r="G49" s="61" t="s">
        <v>2310</v>
      </c>
      <c r="H49" s="61" t="s">
        <v>497</v>
      </c>
      <c r="I49" s="61" t="s">
        <v>2243</v>
      </c>
      <c r="J49" s="61" t="s">
        <v>1521</v>
      </c>
    </row>
    <row r="50" spans="1:12">
      <c r="A50" s="55" t="s">
        <v>2311</v>
      </c>
      <c r="B50" s="55">
        <f>50+20*SIN(B47/26*2*PI())</f>
        <v>40.705536559124624</v>
      </c>
      <c r="C50" s="55" t="s">
        <v>653</v>
      </c>
      <c r="D50" s="55" t="s">
        <v>2303</v>
      </c>
      <c r="E50" s="55" t="s">
        <v>2304</v>
      </c>
      <c r="G50" s="61" t="s">
        <v>2312</v>
      </c>
      <c r="H50" s="61" t="s">
        <v>1567</v>
      </c>
      <c r="I50" s="61" t="s">
        <v>2313</v>
      </c>
      <c r="J50" s="61" t="s">
        <v>1521</v>
      </c>
    </row>
    <row r="51" spans="1:12">
      <c r="A51" s="55" t="s">
        <v>2314</v>
      </c>
      <c r="B51" s="55" t="str">
        <f>IF(MOD(B46,80)&lt;40,"☀️ Day","🌙 Night")</f>
        <v>☀️ Day</v>
      </c>
      <c r="C51" s="55"/>
      <c r="D51" s="55" t="s">
        <v>2315</v>
      </c>
      <c r="E51" s="55" t="s">
        <v>2316</v>
      </c>
      <c r="G51" s="61" t="s">
        <v>2317</v>
      </c>
      <c r="H51" s="61" t="s">
        <v>724</v>
      </c>
      <c r="I51" s="61" t="s">
        <v>2318</v>
      </c>
      <c r="J51" s="61" t="s">
        <v>1521</v>
      </c>
    </row>
    <row r="52" spans="1:12">
      <c r="A52" s="55" t="s">
        <v>2319</v>
      </c>
      <c r="B52" s="55" t="str">
        <f>CHOOSE(MOD(FLOOR(B47/13,1),4)+1,"🌸 Spring","☀️ Summer","🍂 Autumn","❄️ Winter")</f>
        <v>❄️ Winter</v>
      </c>
      <c r="C52" s="55"/>
      <c r="D52" s="55" t="s">
        <v>2320</v>
      </c>
      <c r="E52" s="55" t="s">
        <v>2316</v>
      </c>
      <c r="G52" s="61" t="s">
        <v>2321</v>
      </c>
      <c r="H52" s="61" t="s">
        <v>2322</v>
      </c>
      <c r="I52" s="61" t="s">
        <v>2323</v>
      </c>
      <c r="J52" s="61" t="s">
        <v>1521</v>
      </c>
    </row>
    <row r="53" spans="1:12">
      <c r="A53" s="55" t="s">
        <v>2313</v>
      </c>
      <c r="B53" s="55">
        <f>IF(E51="☀️ Day",1361*0.7,0)</f>
        <v>0</v>
      </c>
      <c r="C53" s="55" t="s">
        <v>2285</v>
      </c>
      <c r="D53" s="55" t="s">
        <v>2324</v>
      </c>
      <c r="E53" s="55" t="s">
        <v>2316</v>
      </c>
      <c r="G53" s="61" t="s">
        <v>2325</v>
      </c>
      <c r="H53" s="61" t="s">
        <v>2326</v>
      </c>
      <c r="I53" s="61" t="s">
        <v>2327</v>
      </c>
      <c r="J53" s="61" t="s">
        <v>1521</v>
      </c>
    </row>
    <row r="54" spans="1:12">
      <c r="A54" s="55" t="s">
        <v>2328</v>
      </c>
      <c r="B54" s="55">
        <f>5+10*ABS(SIN(B46/100))</f>
        <v>12.451131604793488</v>
      </c>
      <c r="C54" s="55" t="s">
        <v>2265</v>
      </c>
      <c r="D54" s="55" t="s">
        <v>2329</v>
      </c>
      <c r="E54" s="55" t="s">
        <v>2330</v>
      </c>
    </row>
    <row r="55" spans="1:12">
      <c r="A55" s="55" t="s">
        <v>2331</v>
      </c>
      <c r="B55" s="55">
        <f>9.81</f>
        <v>9.81</v>
      </c>
      <c r="C55" s="55" t="s">
        <v>2238</v>
      </c>
      <c r="D55" s="55" t="s">
        <v>2332</v>
      </c>
      <c r="E55" s="55" t="s">
        <v>2333</v>
      </c>
    </row>
    <row r="57" spans="1:12" ht="15.75">
      <c r="A57" s="2" t="s">
        <v>2334</v>
      </c>
      <c r="G57" s="1" t="s">
        <v>2335</v>
      </c>
      <c r="J57" s="1" t="s">
        <v>1869</v>
      </c>
    </row>
    <row r="58" spans="1:12">
      <c r="A58" s="187" t="s">
        <v>2121</v>
      </c>
      <c r="B58" s="187" t="s">
        <v>2336</v>
      </c>
      <c r="C58" s="187" t="s">
        <v>2337</v>
      </c>
      <c r="D58" s="187" t="s">
        <v>2338</v>
      </c>
      <c r="E58" s="187" t="s">
        <v>2339</v>
      </c>
      <c r="G58" t="s">
        <v>2340</v>
      </c>
      <c r="H58">
        <f>COUNTA(A14:A28)</f>
        <v>15</v>
      </c>
      <c r="J58" s="61" t="s">
        <v>833</v>
      </c>
      <c r="K58" s="61" t="s">
        <v>1642</v>
      </c>
      <c r="L58" s="61" t="s">
        <v>1987</v>
      </c>
    </row>
    <row r="59" spans="1:12">
      <c r="A59" s="193" t="s">
        <v>2341</v>
      </c>
      <c r="B59" s="193" t="s">
        <v>2342</v>
      </c>
      <c r="C59" s="193" t="s">
        <v>2343</v>
      </c>
      <c r="D59" s="193" t="s">
        <v>2344</v>
      </c>
      <c r="E59" s="193" t="s">
        <v>2345</v>
      </c>
      <c r="G59" t="s">
        <v>2346</v>
      </c>
      <c r="H59">
        <f>COUNTIF(B14:B28,"Core")</f>
        <v>3</v>
      </c>
      <c r="J59" s="61" t="s">
        <v>836</v>
      </c>
      <c r="K59" s="61" t="s">
        <v>2347</v>
      </c>
      <c r="L59" s="61" t="s">
        <v>1987</v>
      </c>
    </row>
    <row r="60" spans="1:12">
      <c r="A60" s="189" t="s">
        <v>2139</v>
      </c>
      <c r="B60" s="189" t="s">
        <v>2348</v>
      </c>
      <c r="C60" s="189" t="s">
        <v>2349</v>
      </c>
      <c r="D60" s="189" t="s">
        <v>2350</v>
      </c>
      <c r="E60" s="189" t="s">
        <v>2351</v>
      </c>
      <c r="G60" t="s">
        <v>2352</v>
      </c>
      <c r="H60">
        <f>COUNTIF(B14:B28,"Surface")</f>
        <v>2</v>
      </c>
      <c r="J60" s="61" t="s">
        <v>882</v>
      </c>
      <c r="K60" s="61" t="s">
        <v>2353</v>
      </c>
      <c r="L60" s="61" t="s">
        <v>1987</v>
      </c>
    </row>
    <row r="61" spans="1:12">
      <c r="A61" s="194" t="s">
        <v>2354</v>
      </c>
      <c r="B61" s="194" t="s">
        <v>2355</v>
      </c>
      <c r="C61" s="194" t="s">
        <v>2356</v>
      </c>
      <c r="D61" s="194" t="s">
        <v>2357</v>
      </c>
      <c r="E61" s="194" t="s">
        <v>2358</v>
      </c>
      <c r="G61" t="s">
        <v>2359</v>
      </c>
      <c r="H61">
        <f>COUNTIF(B14:B28,"Atmosphere")</f>
        <v>5</v>
      </c>
      <c r="J61" s="61" t="s">
        <v>1170</v>
      </c>
      <c r="K61" s="61" t="s">
        <v>2360</v>
      </c>
      <c r="L61" s="61" t="s">
        <v>1987</v>
      </c>
    </row>
    <row r="62" spans="1:12">
      <c r="A62" s="195" t="s">
        <v>2361</v>
      </c>
      <c r="B62" s="195" t="s">
        <v>2362</v>
      </c>
      <c r="C62" s="195" t="s">
        <v>2363</v>
      </c>
      <c r="D62" s="195" t="s">
        <v>2364</v>
      </c>
      <c r="E62" s="195" t="s">
        <v>2365</v>
      </c>
      <c r="G62" t="s">
        <v>2366</v>
      </c>
      <c r="H62">
        <f>COUNTIF(B14:B28,"Field")+COUNTIF(B14:B28,"Global")</f>
        <v>2</v>
      </c>
      <c r="J62" s="61" t="s">
        <v>1350</v>
      </c>
      <c r="K62" s="61" t="s">
        <v>2367</v>
      </c>
      <c r="L62" s="61" t="s">
        <v>1987</v>
      </c>
    </row>
    <row r="63" spans="1:12">
      <c r="A63" s="196" t="s">
        <v>2149</v>
      </c>
      <c r="B63" s="196" t="s">
        <v>2368</v>
      </c>
      <c r="C63" s="196" t="s">
        <v>2152</v>
      </c>
      <c r="D63" s="196" t="s">
        <v>2369</v>
      </c>
      <c r="E63" s="196" t="s">
        <v>2370</v>
      </c>
      <c r="G63" t="s">
        <v>2371</v>
      </c>
      <c r="H63">
        <f>COUNTIF(B14:B28,"External")</f>
        <v>1</v>
      </c>
      <c r="J63" s="61" t="s">
        <v>966</v>
      </c>
      <c r="K63" s="61" t="s">
        <v>2372</v>
      </c>
      <c r="L63" s="61" t="s">
        <v>1987</v>
      </c>
    </row>
    <row r="64" spans="1:12">
      <c r="A64" s="191" t="s">
        <v>2167</v>
      </c>
      <c r="B64" s="191" t="s">
        <v>2373</v>
      </c>
      <c r="C64" s="191" t="s">
        <v>2172</v>
      </c>
      <c r="D64" s="191" t="s">
        <v>2374</v>
      </c>
      <c r="E64" s="191" t="s">
        <v>2375</v>
      </c>
      <c r="G64" t="s">
        <v>2376</v>
      </c>
      <c r="H64">
        <f>COUNTA(A32:A42)</f>
        <v>11</v>
      </c>
    </row>
    <row r="65" spans="1:8">
      <c r="A65" s="191" t="s">
        <v>2174</v>
      </c>
      <c r="B65" s="191" t="s">
        <v>2377</v>
      </c>
      <c r="C65" s="191" t="s">
        <v>2176</v>
      </c>
      <c r="D65" s="191" t="s">
        <v>2374</v>
      </c>
      <c r="E65" s="191" t="s">
        <v>2375</v>
      </c>
      <c r="G65" t="s">
        <v>2378</v>
      </c>
      <c r="H65">
        <f>COUNTA(G32:G41)</f>
        <v>10</v>
      </c>
    </row>
    <row r="66" spans="1:8">
      <c r="A66" s="191" t="s">
        <v>2178</v>
      </c>
      <c r="B66" s="191" t="s">
        <v>2379</v>
      </c>
      <c r="C66" s="191" t="s">
        <v>2180</v>
      </c>
      <c r="D66" s="191" t="s">
        <v>2374</v>
      </c>
      <c r="E66" s="191" t="s">
        <v>2380</v>
      </c>
    </row>
    <row r="67" spans="1:8">
      <c r="A67" s="191" t="s">
        <v>2182</v>
      </c>
      <c r="B67" s="191" t="s">
        <v>2381</v>
      </c>
      <c r="C67" s="191" t="s">
        <v>2185</v>
      </c>
      <c r="D67" s="191" t="s">
        <v>2382</v>
      </c>
      <c r="E67" s="191" t="s">
        <v>2380</v>
      </c>
    </row>
    <row r="68" spans="1:8">
      <c r="A68" s="197" t="s">
        <v>2187</v>
      </c>
      <c r="B68" s="197" t="s">
        <v>2383</v>
      </c>
      <c r="C68" s="197" t="s">
        <v>2384</v>
      </c>
      <c r="D68" s="197" t="s">
        <v>2188</v>
      </c>
      <c r="E68" s="197" t="s">
        <v>2385</v>
      </c>
    </row>
    <row r="69" spans="1:8">
      <c r="A69" s="198" t="s">
        <v>2192</v>
      </c>
      <c r="B69" s="198" t="s">
        <v>2386</v>
      </c>
      <c r="C69" s="198" t="s">
        <v>2158</v>
      </c>
      <c r="D69" s="198" t="s">
        <v>2387</v>
      </c>
      <c r="E69" s="198" t="s">
        <v>2388</v>
      </c>
    </row>
  </sheetData>
  <mergeCells count="1">
    <mergeCell ref="A1:N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24F5-CE71-4B48-8726-CA02D145E3D5}">
  <dimension ref="A1:L55"/>
  <sheetViews>
    <sheetView workbookViewId="0">
      <selection sqref="A1:L1"/>
    </sheetView>
  </sheetViews>
  <sheetFormatPr defaultRowHeight="15"/>
  <cols>
    <col min="1" max="1" width="28.5703125" customWidth="1"/>
    <col min="2" max="3" width="22.85546875" customWidth="1"/>
    <col min="4" max="4" width="28.5703125" customWidth="1"/>
    <col min="5" max="9" width="19" customWidth="1"/>
  </cols>
  <sheetData>
    <row r="1" spans="1:12" ht="21">
      <c r="A1" s="353" t="s">
        <v>2389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</row>
    <row r="3" spans="1:12">
      <c r="A3" s="199" t="s">
        <v>41</v>
      </c>
      <c r="B3" s="199" t="s">
        <v>2123</v>
      </c>
      <c r="C3" s="199" t="s">
        <v>2121</v>
      </c>
      <c r="D3" s="199" t="s">
        <v>2216</v>
      </c>
      <c r="E3" s="199" t="s">
        <v>2390</v>
      </c>
      <c r="F3" s="199" t="s">
        <v>2391</v>
      </c>
      <c r="G3" s="199" t="s">
        <v>2392</v>
      </c>
      <c r="H3" s="199" t="s">
        <v>880</v>
      </c>
      <c r="I3" s="199" t="s">
        <v>47</v>
      </c>
      <c r="J3" s="199" t="s">
        <v>2002</v>
      </c>
      <c r="K3" s="199" t="s">
        <v>562</v>
      </c>
      <c r="L3" s="199" t="s">
        <v>504</v>
      </c>
    </row>
    <row r="4" spans="1:12">
      <c r="A4" t="s">
        <v>2206</v>
      </c>
      <c r="B4" t="s">
        <v>2135</v>
      </c>
      <c r="C4" t="s">
        <v>2126</v>
      </c>
      <c r="D4" t="s">
        <v>2393</v>
      </c>
      <c r="E4" t="s">
        <v>2394</v>
      </c>
      <c r="F4" t="s">
        <v>2395</v>
      </c>
      <c r="G4" t="s">
        <v>2396</v>
      </c>
      <c r="H4" t="s">
        <v>2397</v>
      </c>
      <c r="I4" t="s">
        <v>2129</v>
      </c>
      <c r="L4" t="s">
        <v>2210</v>
      </c>
    </row>
    <row r="5" spans="1:12">
      <c r="A5" t="s">
        <v>2233</v>
      </c>
      <c r="B5" t="s">
        <v>2163</v>
      </c>
      <c r="C5" t="s">
        <v>2162</v>
      </c>
      <c r="D5" t="s">
        <v>2398</v>
      </c>
      <c r="E5" t="s">
        <v>2399</v>
      </c>
      <c r="F5" t="s">
        <v>2400</v>
      </c>
      <c r="G5" t="s">
        <v>2401</v>
      </c>
      <c r="H5" t="s">
        <v>2397</v>
      </c>
      <c r="I5" t="s">
        <v>2129</v>
      </c>
      <c r="L5" t="s">
        <v>2402</v>
      </c>
    </row>
    <row r="6" spans="1:12">
      <c r="A6" t="s">
        <v>2403</v>
      </c>
      <c r="B6" t="s">
        <v>2404</v>
      </c>
      <c r="C6" t="s">
        <v>2168</v>
      </c>
      <c r="D6" t="s">
        <v>2405</v>
      </c>
      <c r="E6" t="s">
        <v>2406</v>
      </c>
      <c r="F6" t="s">
        <v>2400</v>
      </c>
      <c r="G6" t="s">
        <v>2407</v>
      </c>
      <c r="H6" t="s">
        <v>2408</v>
      </c>
      <c r="I6" t="s">
        <v>2129</v>
      </c>
      <c r="L6" t="s">
        <v>2409</v>
      </c>
    </row>
    <row r="7" spans="1:12">
      <c r="A7" t="s">
        <v>2247</v>
      </c>
      <c r="B7" t="s">
        <v>2410</v>
      </c>
      <c r="C7" t="s">
        <v>2144</v>
      </c>
      <c r="D7" t="s">
        <v>2411</v>
      </c>
      <c r="E7" t="s">
        <v>2412</v>
      </c>
      <c r="F7" t="s">
        <v>2413</v>
      </c>
      <c r="G7" t="s">
        <v>2414</v>
      </c>
      <c r="H7" t="s">
        <v>2415</v>
      </c>
      <c r="I7" t="s">
        <v>2129</v>
      </c>
      <c r="L7" t="s">
        <v>2416</v>
      </c>
    </row>
    <row r="8" spans="1:12">
      <c r="A8" t="s">
        <v>2417</v>
      </c>
      <c r="B8" t="s">
        <v>2418</v>
      </c>
      <c r="C8" t="s">
        <v>2168</v>
      </c>
      <c r="D8" t="s">
        <v>2419</v>
      </c>
      <c r="E8" t="s">
        <v>2420</v>
      </c>
      <c r="F8" t="s">
        <v>2421</v>
      </c>
      <c r="G8" t="s">
        <v>2422</v>
      </c>
      <c r="H8" t="s">
        <v>2397</v>
      </c>
      <c r="I8" t="s">
        <v>2129</v>
      </c>
      <c r="L8" t="s">
        <v>2423</v>
      </c>
    </row>
    <row r="9" spans="1:12">
      <c r="A9" t="s">
        <v>2424</v>
      </c>
      <c r="B9" t="s">
        <v>2194</v>
      </c>
      <c r="C9" t="s">
        <v>2192</v>
      </c>
      <c r="D9" t="s">
        <v>2425</v>
      </c>
      <c r="E9" t="s">
        <v>2426</v>
      </c>
      <c r="F9" t="s">
        <v>2396</v>
      </c>
      <c r="G9" t="s">
        <v>2427</v>
      </c>
      <c r="H9" t="s">
        <v>2428</v>
      </c>
      <c r="I9" t="s">
        <v>2129</v>
      </c>
      <c r="L9" t="s">
        <v>2429</v>
      </c>
    </row>
    <row r="10" spans="1:12">
      <c r="A10" t="s">
        <v>2430</v>
      </c>
      <c r="B10" t="s">
        <v>2202</v>
      </c>
      <c r="C10" t="s">
        <v>2198</v>
      </c>
      <c r="D10" t="s">
        <v>2431</v>
      </c>
      <c r="E10" t="s">
        <v>1215</v>
      </c>
      <c r="F10" t="s">
        <v>2432</v>
      </c>
      <c r="G10" t="s">
        <v>2414</v>
      </c>
      <c r="H10" t="s">
        <v>2433</v>
      </c>
      <c r="I10" t="s">
        <v>2129</v>
      </c>
      <c r="L10" t="s">
        <v>2434</v>
      </c>
    </row>
    <row r="11" spans="1:12">
      <c r="A11" t="s">
        <v>2435</v>
      </c>
      <c r="B11" t="s">
        <v>2436</v>
      </c>
      <c r="C11" t="s">
        <v>2162</v>
      </c>
      <c r="D11" t="s">
        <v>2437</v>
      </c>
      <c r="E11" t="s">
        <v>2400</v>
      </c>
      <c r="F11" t="s">
        <v>2438</v>
      </c>
      <c r="G11" t="s">
        <v>2439</v>
      </c>
      <c r="H11" t="s">
        <v>2440</v>
      </c>
      <c r="I11" t="s">
        <v>2129</v>
      </c>
      <c r="L11" t="s">
        <v>2441</v>
      </c>
    </row>
    <row r="12" spans="1:12">
      <c r="A12" t="s">
        <v>2442</v>
      </c>
      <c r="B12" t="s">
        <v>2150</v>
      </c>
      <c r="C12" t="s">
        <v>2149</v>
      </c>
      <c r="D12" t="s">
        <v>2443</v>
      </c>
      <c r="E12" t="s">
        <v>2444</v>
      </c>
      <c r="F12" t="s">
        <v>2445</v>
      </c>
      <c r="G12" t="s">
        <v>2414</v>
      </c>
      <c r="H12" t="s">
        <v>2446</v>
      </c>
      <c r="I12" t="s">
        <v>2129</v>
      </c>
      <c r="L12" t="s">
        <v>2447</v>
      </c>
    </row>
    <row r="13" spans="1:12">
      <c r="A13" t="s">
        <v>2448</v>
      </c>
      <c r="B13" t="s">
        <v>2170</v>
      </c>
      <c r="C13" t="s">
        <v>2168</v>
      </c>
      <c r="D13" t="s">
        <v>2449</v>
      </c>
      <c r="E13" t="s">
        <v>2450</v>
      </c>
      <c r="F13" t="s">
        <v>2451</v>
      </c>
      <c r="G13" t="s">
        <v>2421</v>
      </c>
      <c r="H13" t="s">
        <v>2397</v>
      </c>
      <c r="I13" t="s">
        <v>2129</v>
      </c>
      <c r="L13" t="s">
        <v>2452</v>
      </c>
    </row>
    <row r="15" spans="1:12">
      <c r="A15" s="354" t="s">
        <v>2453</v>
      </c>
      <c r="B15" s="321"/>
      <c r="C15" s="321"/>
      <c r="D15" s="321"/>
      <c r="F15" s="355" t="s">
        <v>2454</v>
      </c>
      <c r="G15" s="321"/>
      <c r="H15" s="321"/>
      <c r="I15" s="321"/>
    </row>
    <row r="16" spans="1:12">
      <c r="A16" s="200" t="s">
        <v>2455</v>
      </c>
      <c r="B16" s="200" t="s">
        <v>2214</v>
      </c>
      <c r="C16" s="200" t="s">
        <v>592</v>
      </c>
      <c r="D16" s="200" t="s">
        <v>593</v>
      </c>
      <c r="F16" s="140" t="s">
        <v>591</v>
      </c>
      <c r="G16" s="140" t="s">
        <v>592</v>
      </c>
      <c r="H16" s="140" t="s">
        <v>593</v>
      </c>
      <c r="I16" s="140" t="s">
        <v>718</v>
      </c>
    </row>
    <row r="17" spans="1:9">
      <c r="A17" t="s">
        <v>2217</v>
      </c>
      <c r="B17" t="s">
        <v>2218</v>
      </c>
      <c r="C17">
        <v>6.6739999999999994E-11</v>
      </c>
      <c r="D17" t="s">
        <v>2219</v>
      </c>
      <c r="F17" t="s">
        <v>48</v>
      </c>
      <c r="G17">
        <f>'DNA Loop Engine'!B5</f>
        <v>50</v>
      </c>
      <c r="H17" t="s">
        <v>668</v>
      </c>
      <c r="I17" t="s">
        <v>2456</v>
      </c>
    </row>
    <row r="18" spans="1:9">
      <c r="A18" t="s">
        <v>2224</v>
      </c>
      <c r="B18" t="s">
        <v>2457</v>
      </c>
      <c r="C18">
        <v>5.9720000000000003E+24</v>
      </c>
      <c r="D18" t="s">
        <v>1142</v>
      </c>
      <c r="F18" t="s">
        <v>2314</v>
      </c>
      <c r="G18" t="str">
        <f>IF(MOD('DNA Loop Engine'!B4,160)&lt;80,"☀️ Day","🌙 Night")</f>
        <v>☀️ Day</v>
      </c>
      <c r="H18" t="s">
        <v>2458</v>
      </c>
      <c r="I18" t="s">
        <v>2459</v>
      </c>
    </row>
    <row r="19" spans="1:9">
      <c r="A19" t="s">
        <v>2230</v>
      </c>
      <c r="B19" t="s">
        <v>2460</v>
      </c>
      <c r="C19">
        <v>6371000</v>
      </c>
      <c r="D19" t="s">
        <v>596</v>
      </c>
      <c r="F19" t="s">
        <v>2319</v>
      </c>
      <c r="G19" t="str">
        <f>IF(MOD('DNA Loop Engine'!B5,52)&lt;13,"🌸 Spring",IF(MOD('DNA Loop Engine'!B5,52)&lt;26,"☀️ Summer",IF(MOD('DNA Loop Engine'!B5,52)&lt;39,"🍂 Autumn","❄️ Winter")))</f>
        <v>❄️ Winter</v>
      </c>
      <c r="H19" t="s">
        <v>2461</v>
      </c>
      <c r="I19" t="s">
        <v>2462</v>
      </c>
    </row>
    <row r="20" spans="1:9">
      <c r="A20" t="s">
        <v>2236</v>
      </c>
      <c r="B20" t="s">
        <v>2237</v>
      </c>
      <c r="C20">
        <v>9.81</v>
      </c>
      <c r="D20" t="s">
        <v>2238</v>
      </c>
      <c r="F20" t="s">
        <v>2301</v>
      </c>
      <c r="G20">
        <f>20+10*SIN(2*PI()*'DNA Loop Engine'!B5/52)</f>
        <v>17.606843357124422</v>
      </c>
      <c r="H20" t="s">
        <v>2302</v>
      </c>
      <c r="I20" t="s">
        <v>2463</v>
      </c>
    </row>
    <row r="21" spans="1:9">
      <c r="A21" t="s">
        <v>2276</v>
      </c>
      <c r="B21" t="s">
        <v>2277</v>
      </c>
      <c r="C21">
        <v>5.6699999999999998E-8</v>
      </c>
      <c r="D21" t="s">
        <v>2278</v>
      </c>
      <c r="F21" t="s">
        <v>2243</v>
      </c>
      <c r="G21">
        <v>101325</v>
      </c>
      <c r="H21" t="s">
        <v>2245</v>
      </c>
      <c r="I21" t="s">
        <v>2464</v>
      </c>
    </row>
    <row r="22" spans="1:9">
      <c r="A22" t="s">
        <v>2465</v>
      </c>
      <c r="B22" t="s">
        <v>2466</v>
      </c>
      <c r="C22">
        <v>1.257E-6</v>
      </c>
      <c r="D22" t="s">
        <v>2467</v>
      </c>
      <c r="F22" t="s">
        <v>2311</v>
      </c>
      <c r="G22">
        <f>45+20*COS(2*PI()*'DNA Loop Engine'!B5/52)</f>
        <v>64.41883634852104</v>
      </c>
      <c r="H22" t="s">
        <v>653</v>
      </c>
      <c r="I22" t="s">
        <v>2468</v>
      </c>
    </row>
    <row r="23" spans="1:9">
      <c r="A23" t="s">
        <v>2469</v>
      </c>
      <c r="B23" t="s">
        <v>2251</v>
      </c>
      <c r="C23">
        <v>1.2250000000000001</v>
      </c>
      <c r="D23" t="s">
        <v>2252</v>
      </c>
      <c r="F23" t="s">
        <v>2313</v>
      </c>
      <c r="G23">
        <f>1000+200*SIN(2*PI()*'DNA Loop Engine'!B5/52)</f>
        <v>952.13686714248843</v>
      </c>
      <c r="H23" t="s">
        <v>2285</v>
      </c>
      <c r="I23" t="s">
        <v>2303</v>
      </c>
    </row>
    <row r="24" spans="1:9">
      <c r="A24" t="s">
        <v>2257</v>
      </c>
      <c r="B24" t="s">
        <v>2258</v>
      </c>
      <c r="C24">
        <v>1000</v>
      </c>
      <c r="D24" t="s">
        <v>2252</v>
      </c>
      <c r="F24" t="s">
        <v>2236</v>
      </c>
      <c r="G24">
        <f>C20</f>
        <v>9.81</v>
      </c>
      <c r="H24" t="s">
        <v>2238</v>
      </c>
      <c r="I24" t="s">
        <v>2455</v>
      </c>
    </row>
    <row r="25" spans="1:9">
      <c r="A25" t="s">
        <v>2470</v>
      </c>
      <c r="B25" t="s">
        <v>2471</v>
      </c>
      <c r="C25">
        <v>2.5</v>
      </c>
      <c r="D25" t="s">
        <v>2472</v>
      </c>
      <c r="F25" t="s">
        <v>2424</v>
      </c>
      <c r="G25">
        <v>50</v>
      </c>
      <c r="H25" t="s">
        <v>2473</v>
      </c>
      <c r="I25" t="s">
        <v>2474</v>
      </c>
    </row>
    <row r="26" spans="1:9">
      <c r="A26" t="s">
        <v>2475</v>
      </c>
      <c r="B26" t="s">
        <v>2476</v>
      </c>
      <c r="C26">
        <v>7.2899999999999997E-5</v>
      </c>
      <c r="D26" t="s">
        <v>2477</v>
      </c>
      <c r="F26" t="s">
        <v>2328</v>
      </c>
      <c r="G26">
        <f>5+10*ABS(SIN(2*PI()*'DNA Loop Engine'!B4/1000))</f>
        <v>5.0000000000000098</v>
      </c>
      <c r="H26" t="s">
        <v>2265</v>
      </c>
      <c r="I26" t="s">
        <v>2478</v>
      </c>
    </row>
    <row r="30" spans="1:9">
      <c r="A30" s="356" t="s">
        <v>2479</v>
      </c>
      <c r="B30" s="321"/>
      <c r="C30" s="321"/>
      <c r="D30" s="321"/>
      <c r="E30" s="321"/>
      <c r="F30" s="321"/>
      <c r="G30" s="321"/>
    </row>
    <row r="31" spans="1:9">
      <c r="A31" s="133" t="s">
        <v>2480</v>
      </c>
      <c r="B31" s="133" t="s">
        <v>2481</v>
      </c>
      <c r="C31" s="133" t="s">
        <v>2482</v>
      </c>
      <c r="D31" s="133" t="s">
        <v>2483</v>
      </c>
      <c r="E31" s="133" t="s">
        <v>598</v>
      </c>
      <c r="F31" s="133" t="s">
        <v>2484</v>
      </c>
      <c r="G31" s="133" t="s">
        <v>562</v>
      </c>
    </row>
    <row r="32" spans="1:9">
      <c r="A32" t="s">
        <v>2126</v>
      </c>
      <c r="B32" t="s">
        <v>2144</v>
      </c>
      <c r="C32" t="s">
        <v>2145</v>
      </c>
      <c r="D32" t="s">
        <v>2485</v>
      </c>
      <c r="E32" t="s">
        <v>2486</v>
      </c>
      <c r="F32" t="s">
        <v>2487</v>
      </c>
      <c r="G32" t="s">
        <v>1521</v>
      </c>
    </row>
    <row r="33" spans="1:7">
      <c r="A33" t="s">
        <v>2144</v>
      </c>
      <c r="B33" t="s">
        <v>2149</v>
      </c>
      <c r="C33" t="s">
        <v>2442</v>
      </c>
      <c r="D33" t="s">
        <v>2488</v>
      </c>
      <c r="E33" t="s">
        <v>2489</v>
      </c>
      <c r="F33" t="s">
        <v>2490</v>
      </c>
      <c r="G33" t="s">
        <v>1521</v>
      </c>
    </row>
    <row r="34" spans="1:7">
      <c r="A34" t="s">
        <v>2149</v>
      </c>
      <c r="B34" t="s">
        <v>2154</v>
      </c>
      <c r="C34" t="s">
        <v>2491</v>
      </c>
      <c r="D34" t="s">
        <v>2135</v>
      </c>
      <c r="E34" t="s">
        <v>2489</v>
      </c>
      <c r="F34" t="s">
        <v>2455</v>
      </c>
      <c r="G34" t="s">
        <v>2309</v>
      </c>
    </row>
    <row r="35" spans="1:7">
      <c r="A35" t="s">
        <v>2149</v>
      </c>
      <c r="B35" t="s">
        <v>2162</v>
      </c>
      <c r="C35" t="s">
        <v>2492</v>
      </c>
      <c r="D35" t="s">
        <v>2135</v>
      </c>
      <c r="E35" t="s">
        <v>2493</v>
      </c>
      <c r="F35" t="s">
        <v>2455</v>
      </c>
      <c r="G35" t="s">
        <v>2309</v>
      </c>
    </row>
    <row r="36" spans="1:7">
      <c r="A36" t="s">
        <v>2162</v>
      </c>
      <c r="B36" t="s">
        <v>2168</v>
      </c>
      <c r="C36" t="s">
        <v>2494</v>
      </c>
      <c r="D36" t="s">
        <v>2495</v>
      </c>
      <c r="E36" t="s">
        <v>2489</v>
      </c>
      <c r="F36" t="s">
        <v>2158</v>
      </c>
      <c r="G36" t="s">
        <v>2496</v>
      </c>
    </row>
    <row r="37" spans="1:7">
      <c r="A37" t="s">
        <v>2168</v>
      </c>
      <c r="B37" t="s">
        <v>2162</v>
      </c>
      <c r="C37" t="s">
        <v>2497</v>
      </c>
      <c r="D37" t="s">
        <v>2135</v>
      </c>
      <c r="E37" t="s">
        <v>2493</v>
      </c>
      <c r="F37" t="s">
        <v>2158</v>
      </c>
      <c r="G37" t="s">
        <v>2496</v>
      </c>
    </row>
    <row r="38" spans="1:7">
      <c r="A38" t="s">
        <v>2198</v>
      </c>
      <c r="B38" t="s">
        <v>2168</v>
      </c>
      <c r="C38" t="s">
        <v>2498</v>
      </c>
      <c r="D38" t="s">
        <v>2194</v>
      </c>
      <c r="E38" t="s">
        <v>2499</v>
      </c>
      <c r="F38" t="s">
        <v>2487</v>
      </c>
      <c r="G38" t="s">
        <v>1521</v>
      </c>
    </row>
    <row r="39" spans="1:7">
      <c r="A39" t="s">
        <v>2192</v>
      </c>
      <c r="B39" t="s">
        <v>2168</v>
      </c>
      <c r="C39" t="s">
        <v>2500</v>
      </c>
      <c r="D39" t="s">
        <v>2194</v>
      </c>
      <c r="E39" t="s">
        <v>2501</v>
      </c>
      <c r="F39" t="s">
        <v>2490</v>
      </c>
      <c r="G39" t="s">
        <v>2502</v>
      </c>
    </row>
    <row r="40" spans="1:7">
      <c r="A40" t="s">
        <v>2206</v>
      </c>
      <c r="B40" t="s">
        <v>2503</v>
      </c>
      <c r="C40" t="s">
        <v>2504</v>
      </c>
      <c r="D40" t="s">
        <v>2135</v>
      </c>
      <c r="E40" t="s">
        <v>2505</v>
      </c>
      <c r="F40" t="s">
        <v>2455</v>
      </c>
      <c r="G40" t="s">
        <v>2506</v>
      </c>
    </row>
    <row r="41" spans="1:7">
      <c r="A41" t="s">
        <v>2168</v>
      </c>
      <c r="B41" t="s">
        <v>2507</v>
      </c>
      <c r="C41" t="s">
        <v>2508</v>
      </c>
      <c r="D41" t="s">
        <v>2509</v>
      </c>
      <c r="E41" t="s">
        <v>783</v>
      </c>
      <c r="F41" t="s">
        <v>2510</v>
      </c>
      <c r="G41" t="s">
        <v>2511</v>
      </c>
    </row>
    <row r="44" spans="1:7">
      <c r="A44" s="357" t="s">
        <v>2512</v>
      </c>
      <c r="B44" s="321"/>
      <c r="C44" s="321"/>
      <c r="D44" s="321"/>
      <c r="E44" s="321"/>
      <c r="F44" s="321"/>
    </row>
    <row r="45" spans="1:7">
      <c r="A45" s="201" t="s">
        <v>2513</v>
      </c>
      <c r="B45" s="201" t="s">
        <v>2514</v>
      </c>
      <c r="C45" s="201" t="s">
        <v>2515</v>
      </c>
      <c r="D45" s="201" t="s">
        <v>1586</v>
      </c>
      <c r="E45" s="201" t="s">
        <v>2516</v>
      </c>
      <c r="F45" s="201" t="s">
        <v>562</v>
      </c>
    </row>
    <row r="46" spans="1:7">
      <c r="A46" t="s">
        <v>2400</v>
      </c>
      <c r="B46" t="s">
        <v>2517</v>
      </c>
      <c r="C46" t="s">
        <v>2518</v>
      </c>
      <c r="D46" t="s">
        <v>2228</v>
      </c>
      <c r="E46">
        <f>G24*70</f>
        <v>686.7</v>
      </c>
      <c r="F46" t="s">
        <v>2519</v>
      </c>
    </row>
    <row r="47" spans="1:7">
      <c r="A47" t="s">
        <v>1215</v>
      </c>
      <c r="B47" t="s">
        <v>2299</v>
      </c>
      <c r="C47" t="s">
        <v>2520</v>
      </c>
      <c r="D47" t="s">
        <v>2521</v>
      </c>
      <c r="E47">
        <f>G20</f>
        <v>17.606843357124422</v>
      </c>
      <c r="F47" t="s">
        <v>2522</v>
      </c>
    </row>
    <row r="48" spans="1:7">
      <c r="A48" t="s">
        <v>2450</v>
      </c>
      <c r="B48" t="s">
        <v>2523</v>
      </c>
      <c r="C48" t="s">
        <v>2524</v>
      </c>
      <c r="D48" t="s">
        <v>2525</v>
      </c>
      <c r="E48">
        <f>G21/101325</f>
        <v>1</v>
      </c>
      <c r="F48" t="s">
        <v>2526</v>
      </c>
    </row>
    <row r="49" spans="1:6">
      <c r="A49" t="s">
        <v>2527</v>
      </c>
      <c r="B49" t="s">
        <v>2528</v>
      </c>
      <c r="C49" t="s">
        <v>2529</v>
      </c>
      <c r="D49" t="s">
        <v>2530</v>
      </c>
      <c r="E49" s="11">
        <v>0.21</v>
      </c>
      <c r="F49" t="s">
        <v>2531</v>
      </c>
    </row>
    <row r="50" spans="1:6">
      <c r="A50" t="s">
        <v>2532</v>
      </c>
      <c r="B50" t="s">
        <v>2533</v>
      </c>
      <c r="C50" t="s">
        <v>267</v>
      </c>
      <c r="D50" t="s">
        <v>2534</v>
      </c>
      <c r="E50" t="str">
        <f>G18</f>
        <v>☀️ Day</v>
      </c>
      <c r="F50" t="s">
        <v>2316</v>
      </c>
    </row>
    <row r="51" spans="1:6">
      <c r="A51" t="s">
        <v>2311</v>
      </c>
      <c r="B51" t="s">
        <v>2535</v>
      </c>
      <c r="C51" t="s">
        <v>2536</v>
      </c>
      <c r="D51" t="s">
        <v>2537</v>
      </c>
      <c r="E51">
        <f>G22</f>
        <v>64.41883634852104</v>
      </c>
      <c r="F51" t="s">
        <v>2538</v>
      </c>
    </row>
    <row r="52" spans="1:6">
      <c r="A52" t="s">
        <v>2498</v>
      </c>
      <c r="B52" t="s">
        <v>2539</v>
      </c>
      <c r="C52" t="s">
        <v>2540</v>
      </c>
      <c r="D52" t="s">
        <v>2541</v>
      </c>
      <c r="E52" t="s">
        <v>2542</v>
      </c>
      <c r="F52" t="s">
        <v>2543</v>
      </c>
    </row>
    <row r="53" spans="1:6">
      <c r="A53" t="s">
        <v>2544</v>
      </c>
      <c r="B53" t="s">
        <v>2545</v>
      </c>
      <c r="C53" t="s">
        <v>623</v>
      </c>
      <c r="D53" t="s">
        <v>2546</v>
      </c>
      <c r="E53" t="s">
        <v>2547</v>
      </c>
      <c r="F53" t="s">
        <v>2526</v>
      </c>
    </row>
    <row r="54" spans="1:6">
      <c r="A54" t="s">
        <v>2424</v>
      </c>
      <c r="B54" t="s">
        <v>2548</v>
      </c>
      <c r="C54" t="s">
        <v>1563</v>
      </c>
      <c r="D54" t="s">
        <v>2549</v>
      </c>
      <c r="E54">
        <f>G25</f>
        <v>50</v>
      </c>
      <c r="F54" t="s">
        <v>2550</v>
      </c>
    </row>
    <row r="55" spans="1:6">
      <c r="A55" t="s">
        <v>2551</v>
      </c>
      <c r="B55" t="s">
        <v>2552</v>
      </c>
      <c r="C55" t="s">
        <v>2299</v>
      </c>
      <c r="D55" t="s">
        <v>2553</v>
      </c>
      <c r="E55">
        <f>G26</f>
        <v>5.0000000000000098</v>
      </c>
      <c r="F55" t="s">
        <v>2554</v>
      </c>
    </row>
  </sheetData>
  <mergeCells count="5">
    <mergeCell ref="A1:L1"/>
    <mergeCell ref="A15:D15"/>
    <mergeCell ref="F15:I15"/>
    <mergeCell ref="A30:G30"/>
    <mergeCell ref="A44:F4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0E57-8370-4AF1-BBBF-714E984EE495}">
  <dimension ref="A1:N62"/>
  <sheetViews>
    <sheetView topLeftCell="A40" workbookViewId="0">
      <selection sqref="A1:N1"/>
    </sheetView>
  </sheetViews>
  <sheetFormatPr defaultRowHeight="15"/>
  <cols>
    <col min="1" max="1" width="28.5703125" customWidth="1"/>
    <col min="2" max="3" width="22.85546875" customWidth="1"/>
    <col min="4" max="4" width="28.5703125" customWidth="1"/>
    <col min="5" max="5" width="19" customWidth="1"/>
    <col min="6" max="6" width="24.7109375" customWidth="1"/>
    <col min="7" max="9" width="19" customWidth="1"/>
  </cols>
  <sheetData>
    <row r="1" spans="1:14" ht="21">
      <c r="A1" s="358" t="s">
        <v>2555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</row>
    <row r="3" spans="1:14">
      <c r="A3" s="359" t="s">
        <v>2556</v>
      </c>
      <c r="B3" s="321"/>
      <c r="C3" s="321"/>
      <c r="D3" s="321"/>
      <c r="F3" s="360" t="s">
        <v>2557</v>
      </c>
      <c r="G3" s="321"/>
      <c r="H3" s="321"/>
      <c r="I3" s="321"/>
      <c r="J3" s="321"/>
    </row>
    <row r="4" spans="1:14">
      <c r="A4" s="133" t="s">
        <v>591</v>
      </c>
      <c r="B4" s="133" t="s">
        <v>592</v>
      </c>
      <c r="C4" s="133" t="s">
        <v>1586</v>
      </c>
      <c r="D4" s="133" t="s">
        <v>504</v>
      </c>
      <c r="F4" s="202" t="s">
        <v>2558</v>
      </c>
      <c r="G4" s="202" t="s">
        <v>2559</v>
      </c>
      <c r="H4" s="202" t="s">
        <v>2560</v>
      </c>
      <c r="I4" s="202" t="s">
        <v>562</v>
      </c>
      <c r="J4" s="202" t="s">
        <v>1586</v>
      </c>
    </row>
    <row r="5" spans="1:14">
      <c r="A5" t="s">
        <v>2561</v>
      </c>
      <c r="B5">
        <f ca="1">RAND()</f>
        <v>0.80925365828674412</v>
      </c>
      <c r="C5">
        <f ca="1">RAND()</f>
        <v>0.12335132076097022</v>
      </c>
      <c r="D5" t="s">
        <v>2562</v>
      </c>
      <c r="F5" t="s">
        <v>2563</v>
      </c>
      <c r="G5">
        <f ca="1">IF($B$8=0,0.8+$B$11,0.2+$B$11)*MIN($B$10/40,1)</f>
        <v>0.30000000000000004</v>
      </c>
      <c r="H5" t="s">
        <v>2564</v>
      </c>
      <c r="I5" t="str">
        <f ca="1">IF(G5&gt;0.5,"🟣 High","⚪ Low")</f>
        <v>⚪ Low</v>
      </c>
      <c r="J5" t="s">
        <v>2565</v>
      </c>
    </row>
    <row r="6" spans="1:14">
      <c r="A6" t="s">
        <v>2566</v>
      </c>
      <c r="B6">
        <v>0.5</v>
      </c>
      <c r="C6" t="s">
        <v>2567</v>
      </c>
      <c r="D6" t="s">
        <v>2568</v>
      </c>
      <c r="F6" t="s">
        <v>2569</v>
      </c>
      <c r="G6">
        <f ca="1">IF($B$8=1,0.8+$B$11,0.2+$B$11)*MIN($B$10/40,1)</f>
        <v>0.9</v>
      </c>
      <c r="H6" t="s">
        <v>2570</v>
      </c>
      <c r="I6" t="str">
        <f ca="1">IF(G6&gt;0.5,"🔵 High","⚪ Low")</f>
        <v>🔵 High</v>
      </c>
      <c r="J6" t="s">
        <v>2565</v>
      </c>
    </row>
    <row r="7" spans="1:14">
      <c r="A7" t="s">
        <v>2571</v>
      </c>
      <c r="B7" t="str">
        <f ca="1">IF(B5&lt;B6,"XX","XY")</f>
        <v>XY</v>
      </c>
      <c r="C7" t="e" cm="1">
        <f t="array" aca="1" ref="C7" ca="1">IF(Seed&lt;0.5,XX,XY)</f>
        <v>#NAME?</v>
      </c>
      <c r="D7" t="s">
        <v>2572</v>
      </c>
      <c r="F7" t="s">
        <v>2573</v>
      </c>
      <c r="G7">
        <f ca="1">IF($B$8=0,0.6,0.3)*MIN($B$10/28,1)+$B$11</f>
        <v>0.4</v>
      </c>
      <c r="H7" t="s">
        <v>2574</v>
      </c>
      <c r="I7" t="str">
        <f ca="1">IF(G7&gt;0.4,"🟡 Active","⚪ Baseline")</f>
        <v>⚪ Baseline</v>
      </c>
      <c r="J7" t="s">
        <v>2575</v>
      </c>
    </row>
    <row r="8" spans="1:14">
      <c r="A8" t="s">
        <v>2576</v>
      </c>
      <c r="B8">
        <f ca="1">IF(B7="XX",0,1)</f>
        <v>1</v>
      </c>
      <c r="C8" t="s">
        <v>2577</v>
      </c>
      <c r="D8" t="s">
        <v>1914</v>
      </c>
      <c r="F8" t="s">
        <v>2578</v>
      </c>
      <c r="G8">
        <f ca="1">0.5+0.2*$B$8+$B$11</f>
        <v>0.79999999999999993</v>
      </c>
      <c r="H8" t="s">
        <v>2579</v>
      </c>
      <c r="I8" t="str">
        <f ca="1">IF(G8&gt;0.4,"🟢 Normal","🔴 Low")</f>
        <v>🟢 Normal</v>
      </c>
      <c r="J8" t="s">
        <v>2580</v>
      </c>
    </row>
    <row r="9" spans="1:14">
      <c r="A9" t="s">
        <v>2581</v>
      </c>
      <c r="B9" t="str">
        <f ca="1">IF(B7="XX","♀ Female","♂ Male")</f>
        <v>♂ Male</v>
      </c>
      <c r="C9" t="s">
        <v>2582</v>
      </c>
      <c r="D9" t="s">
        <v>2583</v>
      </c>
      <c r="F9" t="s">
        <v>2584</v>
      </c>
      <c r="G9">
        <f ca="1">0.5+0.15*$B$8+$B$11</f>
        <v>0.75</v>
      </c>
      <c r="H9" t="s">
        <v>2579</v>
      </c>
      <c r="I9" t="str">
        <f ca="1">IF(G9&gt;0.4,"🟢 Normal","🔴 Low")</f>
        <v>🟢 Normal</v>
      </c>
      <c r="J9" t="s">
        <v>2585</v>
      </c>
    </row>
    <row r="10" spans="1:14">
      <c r="A10" t="s">
        <v>48</v>
      </c>
      <c r="B10">
        <f>'DNA Loop Engine'!B5</f>
        <v>50</v>
      </c>
      <c r="C10">
        <f>'DNA Loop Engine'!B5</f>
        <v>50</v>
      </c>
      <c r="D10" t="s">
        <v>1761</v>
      </c>
      <c r="F10" t="s">
        <v>2586</v>
      </c>
      <c r="G10">
        <f ca="1">0.7+0.1*$B$8+$B$11</f>
        <v>0.89999999999999991</v>
      </c>
      <c r="H10" t="s">
        <v>2587</v>
      </c>
      <c r="I10" t="str">
        <f ca="1">IF(G10&gt;0.5,"🟢 Active","🔴 Low")</f>
        <v>🟢 Active</v>
      </c>
      <c r="J10" t="s">
        <v>2588</v>
      </c>
    </row>
    <row r="11" spans="1:14">
      <c r="A11" t="s">
        <v>2589</v>
      </c>
      <c r="B11">
        <f>0.1*SIN(B10*PI()/20)</f>
        <v>0.1</v>
      </c>
      <c r="C11" t="e" cm="1">
        <f t="array" aca="1" ref="C11" ca="1">0.1*SIN(Week*π/20)</f>
        <v>#NAME?</v>
      </c>
      <c r="D11" t="s">
        <v>2590</v>
      </c>
      <c r="F11" t="s">
        <v>2591</v>
      </c>
      <c r="G11">
        <f>0.5+$B$11</f>
        <v>0.6</v>
      </c>
      <c r="H11" t="s">
        <v>2592</v>
      </c>
      <c r="I11" t="str">
        <f>IF(ABS(G11-0.5)&lt;0.15,"🟢 Balanced","🟡 Varying")</f>
        <v>🟢 Balanced</v>
      </c>
      <c r="J11" t="s">
        <v>2593</v>
      </c>
    </row>
    <row r="12" spans="1:14">
      <c r="A12" t="s">
        <v>2594</v>
      </c>
      <c r="B12">
        <v>1</v>
      </c>
      <c r="C12" t="s">
        <v>2595</v>
      </c>
      <c r="D12" t="s">
        <v>2596</v>
      </c>
      <c r="F12" t="s">
        <v>2597</v>
      </c>
      <c r="G12">
        <f>0.6+$B$11</f>
        <v>0.7</v>
      </c>
      <c r="H12" t="s">
        <v>2598</v>
      </c>
      <c r="I12" t="str">
        <f>IF(G12&gt;0.45,"🟢 Normal","🔴 Low")</f>
        <v>🟢 Normal</v>
      </c>
      <c r="J12" t="s">
        <v>2599</v>
      </c>
    </row>
    <row r="13" spans="1:14">
      <c r="A13" t="s">
        <v>2600</v>
      </c>
      <c r="B13">
        <v>0.1</v>
      </c>
      <c r="C13" t="s">
        <v>2595</v>
      </c>
      <c r="D13" t="s">
        <v>2601</v>
      </c>
      <c r="F13" t="s">
        <v>2602</v>
      </c>
      <c r="G13">
        <f>0.4+ABS($B$11)*2</f>
        <v>0.60000000000000009</v>
      </c>
      <c r="H13" t="s">
        <v>2603</v>
      </c>
      <c r="I13" t="str">
        <f>IF(G13&lt;0.5,"🟢 Calm","🟠 Stressed")</f>
        <v>🟠 Stressed</v>
      </c>
      <c r="J13" t="s">
        <v>2604</v>
      </c>
    </row>
    <row r="14" spans="1:14">
      <c r="A14" t="s">
        <v>2605</v>
      </c>
      <c r="B14">
        <v>0.5</v>
      </c>
      <c r="C14" t="s">
        <v>2595</v>
      </c>
      <c r="D14" t="s">
        <v>2606</v>
      </c>
      <c r="F14" t="s">
        <v>2607</v>
      </c>
      <c r="G14">
        <f>0.5+0.3*COS(2*PI()*$B$10/7)</f>
        <v>0.6870469405576205</v>
      </c>
      <c r="H14" t="s">
        <v>2608</v>
      </c>
      <c r="I14" t="str">
        <f>IF(G14&gt;0.5,"🌙 High","☀️ Low")</f>
        <v>🌙 High</v>
      </c>
      <c r="J14" t="s">
        <v>2609</v>
      </c>
    </row>
    <row r="17" spans="1:12">
      <c r="A17" s="354" t="s">
        <v>2610</v>
      </c>
      <c r="B17" s="321"/>
      <c r="C17" s="321"/>
      <c r="D17" s="321"/>
      <c r="E17" s="321"/>
      <c r="F17" s="321"/>
      <c r="G17" s="321"/>
      <c r="H17" s="321"/>
      <c r="I17" s="321"/>
      <c r="J17" s="321"/>
      <c r="K17" s="321"/>
      <c r="L17" s="321"/>
    </row>
    <row r="18" spans="1:12">
      <c r="A18" s="200" t="s">
        <v>41</v>
      </c>
      <c r="B18" s="200" t="s">
        <v>1517</v>
      </c>
      <c r="C18" s="200" t="s">
        <v>452</v>
      </c>
      <c r="D18" s="200" t="s">
        <v>453</v>
      </c>
      <c r="E18" s="200" t="s">
        <v>1518</v>
      </c>
      <c r="F18" s="200" t="s">
        <v>2611</v>
      </c>
      <c r="G18" s="200" t="s">
        <v>2612</v>
      </c>
      <c r="H18" s="200" t="s">
        <v>48</v>
      </c>
      <c r="I18" s="200" t="s">
        <v>562</v>
      </c>
      <c r="J18" s="200" t="s">
        <v>455</v>
      </c>
      <c r="K18" s="200" t="s">
        <v>47</v>
      </c>
      <c r="L18" s="200" t="s">
        <v>504</v>
      </c>
    </row>
    <row r="19" spans="1:12">
      <c r="A19" t="s">
        <v>2613</v>
      </c>
      <c r="B19" t="s">
        <v>2614</v>
      </c>
      <c r="C19">
        <v>0</v>
      </c>
      <c r="D19">
        <v>1</v>
      </c>
      <c r="E19" t="s">
        <v>2615</v>
      </c>
      <c r="F19" t="s">
        <v>2616</v>
      </c>
      <c r="G19" t="s">
        <v>2617</v>
      </c>
      <c r="H19">
        <f>$B$10</f>
        <v>50</v>
      </c>
      <c r="I19" t="str">
        <f>IF(H19&gt;=D19,"✅ Complete",IF(H19&gt;=C19,"🔄 Developing","⏳ Pending"))</f>
        <v>✅ Complete</v>
      </c>
      <c r="J19">
        <f>MIN(100,MAX(0,(H19-C19)/(D19-C19)*100))</f>
        <v>100</v>
      </c>
      <c r="K19" t="s">
        <v>2618</v>
      </c>
      <c r="L19" t="s">
        <v>2619</v>
      </c>
    </row>
    <row r="20" spans="1:12">
      <c r="A20" t="s">
        <v>2620</v>
      </c>
      <c r="B20" t="s">
        <v>267</v>
      </c>
      <c r="C20">
        <v>4</v>
      </c>
      <c r="D20">
        <v>12</v>
      </c>
      <c r="E20" t="s">
        <v>2621</v>
      </c>
      <c r="F20" t="s">
        <v>2617</v>
      </c>
      <c r="G20" t="s">
        <v>2622</v>
      </c>
      <c r="H20">
        <f>$B$10</f>
        <v>50</v>
      </c>
      <c r="I20" t="str">
        <f>IF(H20&gt;=D20,"✅ Complete",IF(H20&gt;=C20,"🔄 Developing","⏳ Pending"))</f>
        <v>✅ Complete</v>
      </c>
      <c r="J20">
        <f>MIN(100,MAX(0,(H20-C20)/(D20-C20)*100))</f>
        <v>100</v>
      </c>
      <c r="K20" t="s">
        <v>65</v>
      </c>
      <c r="L20" t="s">
        <v>2623</v>
      </c>
    </row>
    <row r="21" spans="1:12">
      <c r="A21" t="s">
        <v>2624</v>
      </c>
      <c r="B21" t="s">
        <v>2625</v>
      </c>
      <c r="C21">
        <v>6</v>
      </c>
      <c r="D21">
        <v>20</v>
      </c>
      <c r="E21" t="s">
        <v>2626</v>
      </c>
      <c r="F21" t="s">
        <v>2627</v>
      </c>
      <c r="G21" t="s">
        <v>2628</v>
      </c>
      <c r="H21">
        <f>$B$10</f>
        <v>50</v>
      </c>
      <c r="I21" t="str">
        <f>IF(H21&gt;=D21,"✅ Complete",IF(H21&gt;=C21,"🔄 Developing","⏳ Pending"))</f>
        <v>✅ Complete</v>
      </c>
      <c r="J21">
        <f>MIN(100,MAX(0,(H21-C21)/(D21-C21)*100))</f>
        <v>100</v>
      </c>
      <c r="K21" t="s">
        <v>65</v>
      </c>
      <c r="L21" t="s">
        <v>2629</v>
      </c>
    </row>
    <row r="22" spans="1:12">
      <c r="A22" t="s">
        <v>2630</v>
      </c>
      <c r="B22" t="s">
        <v>267</v>
      </c>
      <c r="C22">
        <v>12</v>
      </c>
      <c r="D22">
        <v>28</v>
      </c>
      <c r="E22" t="s">
        <v>2631</v>
      </c>
      <c r="F22" t="s">
        <v>2627</v>
      </c>
      <c r="G22" t="s">
        <v>2632</v>
      </c>
      <c r="H22">
        <f>$B$10</f>
        <v>50</v>
      </c>
      <c r="I22" t="str">
        <f>IF(H22&gt;=D22,"✅ Complete",IF(H22&gt;=C22,"🔄 Developing","⏳ Pending"))</f>
        <v>✅ Complete</v>
      </c>
      <c r="J22">
        <f>MIN(100,MAX(0,(H22-C22)/(D22-C22)*100))</f>
        <v>100</v>
      </c>
      <c r="K22" t="s">
        <v>65</v>
      </c>
      <c r="L22" t="s">
        <v>2633</v>
      </c>
    </row>
    <row r="23" spans="1:12">
      <c r="A23" t="s">
        <v>2634</v>
      </c>
      <c r="B23" t="s">
        <v>2614</v>
      </c>
      <c r="C23">
        <v>20</v>
      </c>
      <c r="D23">
        <v>36</v>
      </c>
      <c r="E23" t="s">
        <v>2635</v>
      </c>
      <c r="F23" t="s">
        <v>2636</v>
      </c>
      <c r="G23" t="s">
        <v>2637</v>
      </c>
      <c r="H23">
        <f>$B$10</f>
        <v>50</v>
      </c>
      <c r="I23" t="str">
        <f>IF(H23&gt;=D23,"✅ Complete",IF(H23&gt;=C23,"🔄 Developing","⏳ Pending"))</f>
        <v>✅ Complete</v>
      </c>
      <c r="J23">
        <f>MIN(100,MAX(0,(H23-C23)/(D23-C23)*100))</f>
        <v>100</v>
      </c>
      <c r="K23" t="s">
        <v>65</v>
      </c>
      <c r="L23" t="s">
        <v>2638</v>
      </c>
    </row>
    <row r="24" spans="1:12">
      <c r="A24" t="s">
        <v>2639</v>
      </c>
      <c r="B24" t="s">
        <v>1388</v>
      </c>
      <c r="C24">
        <v>20</v>
      </c>
      <c r="D24">
        <v>36</v>
      </c>
      <c r="E24" t="s">
        <v>2640</v>
      </c>
      <c r="F24" t="s">
        <v>2641</v>
      </c>
      <c r="G24" t="s">
        <v>2642</v>
      </c>
      <c r="H24">
        <f>$B$10</f>
        <v>50</v>
      </c>
      <c r="I24" t="str">
        <f>IF(H24&gt;=D24,"✅ Complete",IF(H24&gt;=C24,"🔄 Developing","⏳ Pending"))</f>
        <v>✅ Complete</v>
      </c>
      <c r="J24">
        <f>MIN(100,MAX(0,(H24-C24)/(D24-C24)*100))</f>
        <v>100</v>
      </c>
      <c r="K24" t="s">
        <v>1553</v>
      </c>
      <c r="L24" t="s">
        <v>2643</v>
      </c>
    </row>
    <row r="25" spans="1:12">
      <c r="A25" t="s">
        <v>2644</v>
      </c>
      <c r="B25" t="s">
        <v>1579</v>
      </c>
      <c r="C25">
        <v>28</v>
      </c>
      <c r="D25">
        <v>40</v>
      </c>
      <c r="E25" t="s">
        <v>2645</v>
      </c>
      <c r="F25" t="s">
        <v>2646</v>
      </c>
      <c r="G25" t="s">
        <v>2647</v>
      </c>
      <c r="H25">
        <f>$B$10</f>
        <v>50</v>
      </c>
      <c r="I25" t="str">
        <f>IF(H25&gt;=D25,"✅ Complete",IF(H25&gt;=C25,"🔄 Developing","⏳ Pending"))</f>
        <v>✅ Complete</v>
      </c>
      <c r="J25">
        <f>MIN(100,MAX(0,(H25-C25)/(D25-C25)*100))</f>
        <v>100</v>
      </c>
      <c r="K25" t="s">
        <v>65</v>
      </c>
      <c r="L25" t="s">
        <v>2648</v>
      </c>
    </row>
    <row r="28" spans="1:12">
      <c r="A28" s="357" t="s">
        <v>2649</v>
      </c>
      <c r="B28" s="321"/>
      <c r="C28" s="321"/>
      <c r="D28" s="321"/>
      <c r="E28" s="321"/>
      <c r="F28" s="321"/>
      <c r="G28" s="321"/>
      <c r="H28" s="321"/>
    </row>
    <row r="29" spans="1:12">
      <c r="A29" s="201" t="s">
        <v>2650</v>
      </c>
      <c r="B29" s="201" t="s">
        <v>2651</v>
      </c>
      <c r="C29" s="201" t="s">
        <v>2652</v>
      </c>
      <c r="D29" s="201" t="s">
        <v>2653</v>
      </c>
      <c r="E29" s="201" t="s">
        <v>2654</v>
      </c>
      <c r="F29" s="201" t="s">
        <v>562</v>
      </c>
      <c r="G29" s="201" t="s">
        <v>2655</v>
      </c>
      <c r="H29" s="201" t="s">
        <v>504</v>
      </c>
    </row>
    <row r="30" spans="1:12">
      <c r="A30" t="s">
        <v>2656</v>
      </c>
      <c r="B30" t="s">
        <v>2657</v>
      </c>
      <c r="C30" t="s">
        <v>2658</v>
      </c>
      <c r="D30" t="str">
        <f ca="1">IF($B$8=0,B30,C30)</f>
        <v>Testes</v>
      </c>
      <c r="E30">
        <f>ROUND($B$14*(0.9+0.2*SIN(G30)),2)</f>
        <v>0.42</v>
      </c>
      <c r="F30" t="str">
        <f>IF($B$10&gt;=G30,"✅ Expressed","⏳ Pending")</f>
        <v>✅ Expressed</v>
      </c>
      <c r="G30">
        <v>6</v>
      </c>
      <c r="H30" t="s">
        <v>2659</v>
      </c>
    </row>
    <row r="31" spans="1:12">
      <c r="A31" t="s">
        <v>2660</v>
      </c>
      <c r="B31" t="s">
        <v>2661</v>
      </c>
      <c r="C31" t="s">
        <v>2662</v>
      </c>
      <c r="D31" t="str">
        <f ca="1">IF($B$8=0,B31,C31)</f>
        <v>Wolffian</v>
      </c>
      <c r="E31">
        <f>ROUND($B$14*(0.9+0.2*SIN(G31)),2)</f>
        <v>0.55000000000000004</v>
      </c>
      <c r="F31" t="str">
        <f>IF($B$10&gt;=G31,"✅ Expressed","⏳ Pending")</f>
        <v>✅ Expressed</v>
      </c>
      <c r="G31">
        <v>8</v>
      </c>
      <c r="H31" t="s">
        <v>2663</v>
      </c>
    </row>
    <row r="32" spans="1:12">
      <c r="A32" t="s">
        <v>2664</v>
      </c>
      <c r="B32" t="s">
        <v>2665</v>
      </c>
      <c r="C32" t="s">
        <v>2666</v>
      </c>
      <c r="D32" t="str">
        <f ca="1">IF($B$8=0,B32,C32)</f>
        <v>Male</v>
      </c>
      <c r="E32">
        <f>ROUND($B$14*(0.9+0.2*SIN(G32)),2)</f>
        <v>0.4</v>
      </c>
      <c r="F32" t="str">
        <f>IF($B$10&gt;=G32,"✅ Expressed","⏳ Pending")</f>
        <v>✅ Expressed</v>
      </c>
      <c r="G32">
        <v>12</v>
      </c>
      <c r="H32" t="s">
        <v>2667</v>
      </c>
    </row>
    <row r="33" spans="1:8">
      <c r="A33" t="s">
        <v>2668</v>
      </c>
      <c r="B33" t="s">
        <v>2669</v>
      </c>
      <c r="C33" t="s">
        <v>2670</v>
      </c>
      <c r="D33" t="str">
        <f ca="1">IF($B$8=0,B33,C33)</f>
        <v>Lower</v>
      </c>
      <c r="E33">
        <f>ROUND($B$14*(0.9+0.2*SIN(G33)),2)</f>
        <v>0.54</v>
      </c>
      <c r="F33" t="str">
        <f>IF($B$10&gt;=G33,"✅ Expressed","⏳ Pending")</f>
        <v>✅ Expressed</v>
      </c>
      <c r="G33">
        <v>20</v>
      </c>
      <c r="H33" t="s">
        <v>2671</v>
      </c>
    </row>
    <row r="34" spans="1:8">
      <c r="A34" t="s">
        <v>2672</v>
      </c>
      <c r="B34" t="s">
        <v>2673</v>
      </c>
      <c r="C34" t="s">
        <v>2674</v>
      </c>
      <c r="D34" t="str">
        <f ca="1">IF($B$8=0,B34,C34)</f>
        <v>More dense</v>
      </c>
      <c r="E34">
        <f>ROUND($B$14*(0.9+0.2*SIN(G34)),2)</f>
        <v>0.54</v>
      </c>
      <c r="F34" t="str">
        <f>IF($B$10&gt;=G34,"✅ Expressed","⏳ Pending")</f>
        <v>✅ Expressed</v>
      </c>
      <c r="G34">
        <v>20</v>
      </c>
      <c r="H34" t="s">
        <v>2675</v>
      </c>
    </row>
    <row r="35" spans="1:8">
      <c r="A35" t="s">
        <v>2676</v>
      </c>
      <c r="B35" t="s">
        <v>2677</v>
      </c>
      <c r="C35" t="s">
        <v>2678</v>
      </c>
      <c r="D35" t="str">
        <f ca="1">IF($B$8=0,B35,C35)</f>
        <v>Higher baseline</v>
      </c>
      <c r="E35">
        <f>ROUND($B$14*(0.9+0.2*SIN(G35)),2)</f>
        <v>0.54</v>
      </c>
      <c r="F35" t="str">
        <f>IF($B$10&gt;=G35,"✅ Expressed","⏳ Pending")</f>
        <v>✅ Expressed</v>
      </c>
      <c r="G35">
        <v>20</v>
      </c>
      <c r="H35" t="s">
        <v>2679</v>
      </c>
    </row>
    <row r="36" spans="1:8">
      <c r="A36" t="s">
        <v>2680</v>
      </c>
      <c r="B36" t="s">
        <v>2681</v>
      </c>
      <c r="C36" t="s">
        <v>1501</v>
      </c>
      <c r="D36" t="str">
        <f ca="1">IF($B$8=0,B36,C36)</f>
        <v>Abdomen</v>
      </c>
      <c r="E36">
        <f>ROUND($B$14*(0.9+0.2*SIN(G36)),2)</f>
        <v>0.54</v>
      </c>
      <c r="F36" t="str">
        <f>IF($B$10&gt;=G36,"✅ Expressed","⏳ Pending")</f>
        <v>✅ Expressed</v>
      </c>
      <c r="G36">
        <v>20</v>
      </c>
      <c r="H36" t="s">
        <v>2682</v>
      </c>
    </row>
    <row r="37" spans="1:8">
      <c r="A37" t="s">
        <v>2683</v>
      </c>
      <c r="B37" t="s">
        <v>2684</v>
      </c>
      <c r="C37" t="s">
        <v>2685</v>
      </c>
      <c r="D37" t="str">
        <f ca="1">IF($B$8=0,B37,C37)</f>
        <v>Peak later</v>
      </c>
      <c r="E37">
        <f>ROUND($B$14*(0.9+0.2*SIN(G37)),2)</f>
        <v>0.54</v>
      </c>
      <c r="F37" t="str">
        <f>IF($B$10&gt;=G37,"✅ Expressed","⏳ Pending")</f>
        <v>✅ Expressed</v>
      </c>
      <c r="G37">
        <v>20</v>
      </c>
      <c r="H37" t="s">
        <v>2686</v>
      </c>
    </row>
    <row r="38" spans="1:8">
      <c r="A38" t="s">
        <v>2687</v>
      </c>
      <c r="B38" t="s">
        <v>2688</v>
      </c>
      <c r="C38" t="s">
        <v>2689</v>
      </c>
      <c r="D38" t="str">
        <f ca="1">IF($B$8=0,B38,C38)</f>
        <v>More lateralized</v>
      </c>
      <c r="E38">
        <f>ROUND($B$14*(0.9+0.2*SIN(G38)),2)</f>
        <v>0.36</v>
      </c>
      <c r="F38" t="str">
        <f>IF($B$10&gt;=G38,"✅ Expressed","⏳ Pending")</f>
        <v>✅ Expressed</v>
      </c>
      <c r="G38">
        <v>24</v>
      </c>
      <c r="H38" t="s">
        <v>2690</v>
      </c>
    </row>
    <row r="39" spans="1:8">
      <c r="A39" t="s">
        <v>2691</v>
      </c>
      <c r="B39" t="s">
        <v>2692</v>
      </c>
      <c r="C39" t="s">
        <v>2693</v>
      </c>
      <c r="D39" t="str">
        <f ca="1">IF($B$8=0,B39,C39)</f>
        <v>Taller average</v>
      </c>
      <c r="E39">
        <f>ROUND($B$14*(0.9+0.2*SIN(G39)),2)</f>
        <v>0.4</v>
      </c>
      <c r="F39" t="str">
        <f>IF($B$10&gt;=G39,"✅ Expressed","⏳ Pending")</f>
        <v>✅ Expressed</v>
      </c>
      <c r="G39">
        <v>12</v>
      </c>
      <c r="H39" t="s">
        <v>2694</v>
      </c>
    </row>
    <row r="42" spans="1:8">
      <c r="A42" s="361" t="s">
        <v>2695</v>
      </c>
      <c r="B42" s="321"/>
      <c r="C42" s="321"/>
      <c r="D42" s="321"/>
      <c r="E42" s="321"/>
      <c r="F42" s="321"/>
      <c r="G42" s="321"/>
    </row>
    <row r="43" spans="1:8">
      <c r="A43" s="203" t="s">
        <v>2696</v>
      </c>
      <c r="B43" s="203" t="s">
        <v>2697</v>
      </c>
      <c r="C43" s="203" t="s">
        <v>2698</v>
      </c>
      <c r="D43" s="203" t="s">
        <v>2699</v>
      </c>
      <c r="E43" s="203" t="s">
        <v>1586</v>
      </c>
      <c r="F43" s="203" t="s">
        <v>455</v>
      </c>
      <c r="G43" s="203" t="s">
        <v>504</v>
      </c>
    </row>
    <row r="44" spans="1:8">
      <c r="A44" t="s">
        <v>2700</v>
      </c>
      <c r="B44" t="s">
        <v>2701</v>
      </c>
      <c r="C44" t="s">
        <v>1745</v>
      </c>
      <c r="D44" t="str">
        <f ca="1">IF($B$8=0,"🟣 Enhanced","⚪ Baseline")</f>
        <v>⚪ Baseline</v>
      </c>
      <c r="E44" t="e" cm="1">
        <f t="array" aca="1" ref="E44" ca="1">HormoneLevel * NeuralGain</f>
        <v>#NAME?</v>
      </c>
      <c r="F44">
        <f>MIN(100,MAX(0,($B$10-20)/16*100))</f>
        <v>100</v>
      </c>
      <c r="G44" t="s">
        <v>2702</v>
      </c>
    </row>
    <row r="45" spans="1:8">
      <c r="A45" t="s">
        <v>2703</v>
      </c>
      <c r="B45" t="s">
        <v>1745</v>
      </c>
      <c r="C45" t="s">
        <v>2701</v>
      </c>
      <c r="D45" t="str">
        <f ca="1">IF($B$8=1,"🔵 Enhanced","⚪ Baseline")</f>
        <v>🔵 Enhanced</v>
      </c>
      <c r="E45" t="e" cm="1">
        <f t="array" aca="1" ref="E45" ca="1">HormoneLevel * NeuralGain</f>
        <v>#NAME?</v>
      </c>
      <c r="F45">
        <f>MIN(100,MAX(0,($B$10-20)/16*100))</f>
        <v>100</v>
      </c>
      <c r="G45" t="s">
        <v>2704</v>
      </c>
    </row>
    <row r="46" spans="1:8">
      <c r="A46" t="s">
        <v>2705</v>
      </c>
      <c r="B46" t="s">
        <v>2701</v>
      </c>
      <c r="C46" t="s">
        <v>1745</v>
      </c>
      <c r="D46" t="str">
        <f ca="1">IF($B$8=0,"🟣 Enhanced","⚪ Baseline")</f>
        <v>⚪ Baseline</v>
      </c>
      <c r="E46" t="e" cm="1">
        <f t="array" aca="1" ref="E46" ca="1">HormoneLevel * NeuralGain</f>
        <v>#NAME?</v>
      </c>
      <c r="F46">
        <f>MIN(100,MAX(0,($B$10-20)/16*100))</f>
        <v>100</v>
      </c>
      <c r="G46" t="s">
        <v>2706</v>
      </c>
    </row>
    <row r="47" spans="1:8">
      <c r="A47" t="s">
        <v>2707</v>
      </c>
      <c r="B47" t="s">
        <v>2708</v>
      </c>
      <c r="C47" t="s">
        <v>2709</v>
      </c>
      <c r="D47" t="str">
        <f ca="1">IF($B$8=0,"🟡 Cautious","🟠 Risk-prone")</f>
        <v>🟠 Risk-prone</v>
      </c>
      <c r="E47" t="e" cm="1">
        <f t="array" aca="1" ref="E47" ca="1">AmygdalaActivity / CortexControl</f>
        <v>#NAME?</v>
      </c>
      <c r="F47">
        <f>MIN(100,MAX(0,($B$10-20)/16*100))</f>
        <v>100</v>
      </c>
      <c r="G47" t="s">
        <v>2710</v>
      </c>
    </row>
    <row r="48" spans="1:8">
      <c r="A48" t="s">
        <v>2711</v>
      </c>
      <c r="B48" t="s">
        <v>2712</v>
      </c>
      <c r="C48" t="s">
        <v>2713</v>
      </c>
      <c r="D48" t="str">
        <f ca="1">IF($B$8=0,"🟣 Distributed","🔵 Focused")</f>
        <v>🔵 Focused</v>
      </c>
      <c r="E48" t="e" cm="1">
        <f t="array" aca="1" ref="E48" ca="1">HemisphericBalance * Estrogen</f>
        <v>#NAME?</v>
      </c>
      <c r="F48">
        <f>MIN(100,MAX(0,($B$10-20)/16*100))</f>
        <v>100</v>
      </c>
      <c r="G48" t="s">
        <v>2714</v>
      </c>
    </row>
    <row r="49" spans="1:9">
      <c r="A49" t="s">
        <v>2715</v>
      </c>
      <c r="B49" t="s">
        <v>2701</v>
      </c>
      <c r="C49" t="s">
        <v>1745</v>
      </c>
      <c r="D49" t="str">
        <f ca="1">IF($B$8=0,"🟣 Enhanced","⚪ Baseline")</f>
        <v>⚪ Baseline</v>
      </c>
      <c r="E49" t="e" cm="1">
        <f t="array" aca="1" ref="E49" ca="1">MirrorNeuronDensity * Hormone</f>
        <v>#NAME?</v>
      </c>
      <c r="F49">
        <f>MIN(100,MAX(0,($B$10-20)/16*100))</f>
        <v>100</v>
      </c>
      <c r="G49" t="s">
        <v>2716</v>
      </c>
    </row>
    <row r="50" spans="1:9">
      <c r="A50" t="s">
        <v>2717</v>
      </c>
      <c r="B50" t="s">
        <v>2669</v>
      </c>
      <c r="C50" t="s">
        <v>2670</v>
      </c>
      <c r="D50" t="str">
        <f ca="1">IF($B$8=0,"🟢 Higher","🔴 Lower")</f>
        <v>🔴 Lower</v>
      </c>
      <c r="E50" t="e" cm="1">
        <f t="array" aca="1" ref="E50" ca="1">TestosteroneLevel / CortexInhibition</f>
        <v>#NAME?</v>
      </c>
      <c r="F50">
        <f>MIN(100,MAX(0,($B$10-20)/16*100))</f>
        <v>100</v>
      </c>
      <c r="G50" t="s">
        <v>2718</v>
      </c>
    </row>
    <row r="51" spans="1:9">
      <c r="A51" t="s">
        <v>1981</v>
      </c>
      <c r="B51" t="s">
        <v>2701</v>
      </c>
      <c r="C51" t="s">
        <v>1745</v>
      </c>
      <c r="D51" t="str">
        <f ca="1">IF($B$8=0,"🟣 Enhanced","⚪ Baseline")</f>
        <v>⚪ Baseline</v>
      </c>
      <c r="E51" t="e" cm="1">
        <f t="array" aca="1" ref="E51" ca="1">LimbicIntegration * Hormone</f>
        <v>#NAME?</v>
      </c>
      <c r="F51">
        <f>MIN(100,MAX(0,($B$10-20)/16*100))</f>
        <v>100</v>
      </c>
      <c r="G51" t="s">
        <v>2719</v>
      </c>
    </row>
    <row r="54" spans="1:9">
      <c r="A54" s="355" t="s">
        <v>2720</v>
      </c>
      <c r="B54" s="321"/>
      <c r="C54" s="321"/>
      <c r="D54" s="321"/>
      <c r="F54" s="362" t="s">
        <v>1869</v>
      </c>
      <c r="G54" s="321"/>
      <c r="H54" s="321"/>
      <c r="I54" s="321"/>
    </row>
    <row r="55" spans="1:9">
      <c r="A55" s="140" t="s">
        <v>669</v>
      </c>
      <c r="B55" s="140" t="s">
        <v>592</v>
      </c>
      <c r="C55" s="140" t="s">
        <v>1586</v>
      </c>
      <c r="D55" s="140" t="s">
        <v>504</v>
      </c>
      <c r="F55" s="204" t="s">
        <v>955</v>
      </c>
      <c r="G55" s="204" t="s">
        <v>1152</v>
      </c>
      <c r="H55" s="204" t="s">
        <v>2721</v>
      </c>
      <c r="I55" s="204" t="s">
        <v>562</v>
      </c>
    </row>
    <row r="56" spans="1:9">
      <c r="A56" t="s">
        <v>2581</v>
      </c>
      <c r="B56" t="str">
        <f ca="1">$B$9</f>
        <v>♂ Male</v>
      </c>
      <c r="C56" t="s">
        <v>2722</v>
      </c>
      <c r="D56" t="s">
        <v>2723</v>
      </c>
      <c r="F56" t="s">
        <v>833</v>
      </c>
      <c r="G56">
        <f>'DNA Loop Engine'!B5</f>
        <v>50</v>
      </c>
      <c r="H56" t="s">
        <v>48</v>
      </c>
      <c r="I56" t="s">
        <v>1987</v>
      </c>
    </row>
    <row r="57" spans="1:9">
      <c r="A57" t="s">
        <v>2724</v>
      </c>
      <c r="B57" t="str">
        <f ca="1">IF($B$8=0,"Estrogen","Testosterone")</f>
        <v>Testosterone</v>
      </c>
      <c r="C57" t="s">
        <v>2725</v>
      </c>
      <c r="D57" t="s">
        <v>2726</v>
      </c>
      <c r="F57" t="s">
        <v>839</v>
      </c>
      <c r="G57" t="s">
        <v>2727</v>
      </c>
      <c r="H57" t="s">
        <v>2728</v>
      </c>
      <c r="I57" t="s">
        <v>2729</v>
      </c>
    </row>
    <row r="58" spans="1:9">
      <c r="A58" t="s">
        <v>2730</v>
      </c>
      <c r="B58">
        <f ca="1">IF($B$8=0,G5/(G5+G6),G6/(G5+G6))</f>
        <v>0.74999999999999989</v>
      </c>
      <c r="C58" t="s">
        <v>2731</v>
      </c>
      <c r="D58" t="s">
        <v>2732</v>
      </c>
      <c r="F58" t="s">
        <v>1578</v>
      </c>
      <c r="G58" t="s">
        <v>2733</v>
      </c>
      <c r="H58" t="s">
        <v>2593</v>
      </c>
      <c r="I58" t="s">
        <v>1521</v>
      </c>
    </row>
    <row r="59" spans="1:9">
      <c r="A59" t="s">
        <v>2734</v>
      </c>
      <c r="B59" t="str">
        <f>IF($B$10&lt;6,"⏳ Pre-differentiation",IF($B$10&lt;20,"🔄 Differentiating",IF($B$10&lt;36,"🔄 Expressing","✅ Complete")))</f>
        <v>✅ Complete</v>
      </c>
      <c r="C59" t="s">
        <v>2735</v>
      </c>
      <c r="D59" t="s">
        <v>2736</v>
      </c>
      <c r="F59" t="s">
        <v>842</v>
      </c>
      <c r="G59" t="s">
        <v>2737</v>
      </c>
      <c r="H59" t="s">
        <v>2738</v>
      </c>
      <c r="I59" t="s">
        <v>2739</v>
      </c>
    </row>
    <row r="60" spans="1:9">
      <c r="A60" t="s">
        <v>2740</v>
      </c>
      <c r="B60" t="str">
        <f>COUNTIF(F30:F39,"✅ Expressed")&amp;" of 10"</f>
        <v>10 of 10</v>
      </c>
      <c r="C60" t="s">
        <v>2741</v>
      </c>
      <c r="D60" t="s">
        <v>2742</v>
      </c>
      <c r="F60" t="s">
        <v>1988</v>
      </c>
      <c r="G60" t="s">
        <v>2743</v>
      </c>
      <c r="H60" t="s">
        <v>2744</v>
      </c>
      <c r="I60" t="s">
        <v>2745</v>
      </c>
    </row>
    <row r="61" spans="1:9">
      <c r="A61" t="s">
        <v>2746</v>
      </c>
      <c r="B61" t="str">
        <f>ROUND(AVERAGE(F44:F51),0)&amp;"%"</f>
        <v>100%</v>
      </c>
      <c r="C61" t="s">
        <v>2747</v>
      </c>
      <c r="D61" t="s">
        <v>2738</v>
      </c>
      <c r="F61" t="s">
        <v>1350</v>
      </c>
      <c r="G61" t="s">
        <v>2748</v>
      </c>
      <c r="H61" t="s">
        <v>2749</v>
      </c>
      <c r="I61" t="s">
        <v>2750</v>
      </c>
    </row>
    <row r="62" spans="1:9">
      <c r="A62" t="s">
        <v>2751</v>
      </c>
      <c r="B62" t="str">
        <f>ROUND(AVERAGE(J19:J25),0)&amp;"%"</f>
        <v>100%</v>
      </c>
      <c r="C62" t="s">
        <v>2752</v>
      </c>
      <c r="D62" t="s">
        <v>2753</v>
      </c>
      <c r="F62" t="s">
        <v>2754</v>
      </c>
      <c r="G62" t="s">
        <v>2755</v>
      </c>
      <c r="H62" t="s">
        <v>2756</v>
      </c>
      <c r="I62" t="s">
        <v>2757</v>
      </c>
    </row>
  </sheetData>
  <mergeCells count="8">
    <mergeCell ref="A54:D54"/>
    <mergeCell ref="F54:I54"/>
    <mergeCell ref="A1:N1"/>
    <mergeCell ref="A3:D3"/>
    <mergeCell ref="F3:J3"/>
    <mergeCell ref="A17:L17"/>
    <mergeCell ref="A28:H28"/>
    <mergeCell ref="A42:G4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9009-55CB-4744-925A-E90520392817}">
  <dimension ref="A1:N112"/>
  <sheetViews>
    <sheetView workbookViewId="0">
      <selection sqref="A1:N1"/>
    </sheetView>
  </sheetViews>
  <sheetFormatPr defaultRowHeight="15"/>
  <cols>
    <col min="1" max="1" width="34.28515625" customWidth="1"/>
    <col min="2" max="3" width="19" customWidth="1"/>
    <col min="4" max="4" width="22.85546875" customWidth="1"/>
    <col min="5" max="5" width="19" customWidth="1"/>
    <col min="6" max="9" width="22.85546875" customWidth="1"/>
    <col min="10" max="10" width="19" customWidth="1"/>
  </cols>
  <sheetData>
    <row r="1" spans="1:14" ht="18.75">
      <c r="A1" s="316" t="s">
        <v>2758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</row>
    <row r="3" spans="1:14" ht="15.75">
      <c r="A3" s="2" t="s">
        <v>2759</v>
      </c>
    </row>
    <row r="4" spans="1:14">
      <c r="A4" s="205" t="s">
        <v>591</v>
      </c>
      <c r="B4" s="205" t="s">
        <v>592</v>
      </c>
      <c r="C4" s="205" t="s">
        <v>593</v>
      </c>
      <c r="D4" s="205" t="s">
        <v>2760</v>
      </c>
    </row>
    <row r="5" spans="1:14">
      <c r="A5" t="s">
        <v>48</v>
      </c>
      <c r="B5">
        <f>'DNA Loop Engine'!B5</f>
        <v>50</v>
      </c>
      <c r="C5" t="s">
        <v>668</v>
      </c>
      <c r="D5" t="s">
        <v>1761</v>
      </c>
    </row>
    <row r="6" spans="1:14">
      <c r="A6" t="s">
        <v>2761</v>
      </c>
      <c r="B6">
        <v>1</v>
      </c>
      <c r="D6" t="s">
        <v>2762</v>
      </c>
    </row>
    <row r="7" spans="1:14">
      <c r="A7" t="s">
        <v>2763</v>
      </c>
      <c r="B7">
        <v>100</v>
      </c>
      <c r="C7" t="s">
        <v>2764</v>
      </c>
      <c r="D7" t="s">
        <v>2765</v>
      </c>
    </row>
    <row r="8" spans="1:14">
      <c r="A8" t="s">
        <v>2766</v>
      </c>
      <c r="B8">
        <v>1E-3</v>
      </c>
      <c r="C8" t="s">
        <v>2767</v>
      </c>
      <c r="D8" t="s">
        <v>2768</v>
      </c>
    </row>
    <row r="9" spans="1:14">
      <c r="A9" t="s">
        <v>2769</v>
      </c>
      <c r="B9">
        <v>0.7</v>
      </c>
      <c r="D9" t="s">
        <v>2770</v>
      </c>
    </row>
    <row r="10" spans="1:14">
      <c r="A10" t="s">
        <v>2513</v>
      </c>
      <c r="B10">
        <v>1</v>
      </c>
      <c r="D10" t="s">
        <v>2771</v>
      </c>
    </row>
    <row r="11" spans="1:14">
      <c r="A11" t="s">
        <v>2772</v>
      </c>
      <c r="B11">
        <f ca="1">RAND()</f>
        <v>0.96470593330433219</v>
      </c>
      <c r="D11" t="s">
        <v>2773</v>
      </c>
    </row>
    <row r="12" spans="1:14">
      <c r="A12" t="s">
        <v>2774</v>
      </c>
      <c r="B12">
        <f ca="1">RAND()</f>
        <v>0.90429646283135734</v>
      </c>
      <c r="D12" t="s">
        <v>2773</v>
      </c>
    </row>
    <row r="13" spans="1:14">
      <c r="A13" t="s">
        <v>2775</v>
      </c>
      <c r="B13" t="s">
        <v>2776</v>
      </c>
      <c r="D13" t="s">
        <v>2777</v>
      </c>
    </row>
    <row r="15" spans="1:14" ht="15.75">
      <c r="A15" s="2" t="s">
        <v>2778</v>
      </c>
    </row>
    <row r="16" spans="1:14">
      <c r="A16" s="176" t="s">
        <v>41</v>
      </c>
      <c r="B16" s="176" t="s">
        <v>1517</v>
      </c>
      <c r="C16" s="176" t="s">
        <v>2779</v>
      </c>
      <c r="D16" s="176" t="s">
        <v>1518</v>
      </c>
      <c r="E16" s="176" t="s">
        <v>2611</v>
      </c>
      <c r="F16" s="176" t="s">
        <v>2612</v>
      </c>
      <c r="G16" s="176" t="s">
        <v>2216</v>
      </c>
      <c r="H16" s="176" t="s">
        <v>47</v>
      </c>
      <c r="I16" s="176" t="s">
        <v>562</v>
      </c>
      <c r="J16" s="176" t="s">
        <v>504</v>
      </c>
    </row>
    <row r="17" spans="1:13">
      <c r="A17" s="184" t="s">
        <v>2780</v>
      </c>
      <c r="B17" s="184" t="s">
        <v>2614</v>
      </c>
      <c r="C17" s="184" t="s">
        <v>1203</v>
      </c>
      <c r="D17" s="184" t="s">
        <v>2781</v>
      </c>
      <c r="E17" s="184" t="s">
        <v>2782</v>
      </c>
      <c r="F17" s="184" t="s">
        <v>2783</v>
      </c>
      <c r="G17" s="184" t="s">
        <v>2784</v>
      </c>
      <c r="H17" s="184" t="s">
        <v>2618</v>
      </c>
      <c r="I17" s="184" t="str">
        <f>IF($B$5&lt;40,"🔄 Prenatal",IF($B$5&lt;92,"🧒 Postnatal","✅ Active"))</f>
        <v>🧒 Postnatal</v>
      </c>
      <c r="J17" s="184" t="s">
        <v>2785</v>
      </c>
    </row>
    <row r="18" spans="1:13">
      <c r="A18" s="184" t="s">
        <v>2786</v>
      </c>
      <c r="B18" s="184" t="s">
        <v>2614</v>
      </c>
      <c r="C18" s="184" t="s">
        <v>1203</v>
      </c>
      <c r="D18" s="184" t="s">
        <v>2781</v>
      </c>
      <c r="E18" s="184" t="s">
        <v>2787</v>
      </c>
      <c r="F18" s="184" t="s">
        <v>2788</v>
      </c>
      <c r="G18" s="184" t="s">
        <v>2784</v>
      </c>
      <c r="H18" s="184" t="s">
        <v>2618</v>
      </c>
      <c r="I18" s="184" t="str">
        <f>IF($B$5&lt;40,"🔄 Prenatal",IF($B$5&lt;92,"🧒 Postnatal","✅ Active"))</f>
        <v>🧒 Postnatal</v>
      </c>
      <c r="J18" s="184" t="s">
        <v>2789</v>
      </c>
    </row>
    <row r="19" spans="1:13">
      <c r="A19" s="184" t="s">
        <v>2790</v>
      </c>
      <c r="B19" s="184" t="s">
        <v>2614</v>
      </c>
      <c r="C19" s="184" t="s">
        <v>1203</v>
      </c>
      <c r="D19" s="184" t="s">
        <v>2791</v>
      </c>
      <c r="E19" s="184" t="s">
        <v>2780</v>
      </c>
      <c r="F19" s="184" t="s">
        <v>2792</v>
      </c>
      <c r="G19" s="184" t="s">
        <v>2793</v>
      </c>
      <c r="H19" s="184" t="s">
        <v>2618</v>
      </c>
      <c r="I19" s="184" t="str">
        <f>IF($B$5&lt;40,"🔄 Prenatal",IF($B$5&lt;92,"🧒 Postnatal","✅ Active"))</f>
        <v>🧒 Postnatal</v>
      </c>
      <c r="J19" s="184" t="s">
        <v>2794</v>
      </c>
    </row>
    <row r="20" spans="1:13">
      <c r="A20" s="184" t="s">
        <v>2795</v>
      </c>
      <c r="B20" s="184" t="s">
        <v>2614</v>
      </c>
      <c r="C20" s="184" t="s">
        <v>1203</v>
      </c>
      <c r="D20" s="184" t="s">
        <v>2791</v>
      </c>
      <c r="E20" s="184" t="s">
        <v>2786</v>
      </c>
      <c r="F20" s="184" t="s">
        <v>2796</v>
      </c>
      <c r="G20" s="184" t="s">
        <v>2793</v>
      </c>
      <c r="H20" s="184" t="s">
        <v>2618</v>
      </c>
      <c r="I20" s="184" t="str">
        <f>IF($B$5&lt;40,"🔄 Prenatal",IF($B$5&lt;92,"🧒 Postnatal","✅ Active"))</f>
        <v>🧒 Postnatal</v>
      </c>
      <c r="J20" s="184" t="s">
        <v>2797</v>
      </c>
    </row>
    <row r="21" spans="1:13">
      <c r="A21" s="184" t="s">
        <v>2798</v>
      </c>
      <c r="B21" s="184" t="s">
        <v>2614</v>
      </c>
      <c r="C21" s="184" t="s">
        <v>1203</v>
      </c>
      <c r="D21" s="184" t="s">
        <v>2799</v>
      </c>
      <c r="E21" s="184" t="s">
        <v>2800</v>
      </c>
      <c r="F21" s="184" t="s">
        <v>2801</v>
      </c>
      <c r="G21" s="184" t="s">
        <v>2802</v>
      </c>
      <c r="H21" s="184" t="s">
        <v>2618</v>
      </c>
      <c r="I21" s="184" t="str">
        <f>IF($B$5&lt;40,"🔄 Prenatal",IF($B$5&lt;92,"🧒 Postnatal","✅ Active"))</f>
        <v>🧒 Postnatal</v>
      </c>
      <c r="J21" s="184" t="s">
        <v>2803</v>
      </c>
    </row>
    <row r="22" spans="1:13">
      <c r="A22" s="184" t="s">
        <v>2804</v>
      </c>
      <c r="B22" s="184" t="s">
        <v>2614</v>
      </c>
      <c r="C22" s="184" t="s">
        <v>1203</v>
      </c>
      <c r="D22" s="184" t="s">
        <v>2805</v>
      </c>
      <c r="E22" s="184" t="s">
        <v>2801</v>
      </c>
      <c r="F22" s="184" t="s">
        <v>2806</v>
      </c>
      <c r="G22" s="184" t="s">
        <v>2807</v>
      </c>
      <c r="H22" s="184" t="s">
        <v>2618</v>
      </c>
      <c r="I22" s="184" t="str">
        <f>IF($B$5&lt;40,"🔄 Prenatal",IF($B$5&lt;92,"🧒 Postnatal","✅ Active"))</f>
        <v>🧒 Postnatal</v>
      </c>
      <c r="J22" s="184" t="s">
        <v>2808</v>
      </c>
    </row>
    <row r="23" spans="1:13">
      <c r="A23" s="182" t="s">
        <v>2809</v>
      </c>
      <c r="B23" s="182" t="s">
        <v>2810</v>
      </c>
      <c r="C23" s="182" t="s">
        <v>1203</v>
      </c>
      <c r="D23" s="182" t="s">
        <v>2811</v>
      </c>
      <c r="E23" s="182" t="s">
        <v>2812</v>
      </c>
      <c r="F23" s="182" t="s">
        <v>2813</v>
      </c>
      <c r="G23" s="182" t="s">
        <v>2814</v>
      </c>
      <c r="H23" s="182" t="s">
        <v>65</v>
      </c>
      <c r="I23" s="182" t="str">
        <f>IF($B$5&lt;40,"🔄 Prenatal",IF($B$5&lt;92,"🧒 Postnatal","✅ Active"))</f>
        <v>🧒 Postnatal</v>
      </c>
      <c r="J23" s="182" t="s">
        <v>2815</v>
      </c>
    </row>
    <row r="24" spans="1:13">
      <c r="A24" s="185" t="s">
        <v>2816</v>
      </c>
      <c r="B24" s="185" t="s">
        <v>1388</v>
      </c>
      <c r="C24" s="185" t="s">
        <v>1203</v>
      </c>
      <c r="D24" s="185" t="s">
        <v>2817</v>
      </c>
      <c r="E24" s="185" t="s">
        <v>2818</v>
      </c>
      <c r="F24" s="185" t="s">
        <v>2819</v>
      </c>
      <c r="G24" s="185" t="s">
        <v>2820</v>
      </c>
      <c r="H24" s="185" t="s">
        <v>1553</v>
      </c>
      <c r="I24" s="185" t="str">
        <f>IF($B$5&lt;40,"🔄 Prenatal",IF($B$5&lt;92,"🧒 Postnatal","✅ Active"))</f>
        <v>🧒 Postnatal</v>
      </c>
      <c r="J24" s="185" t="s">
        <v>2821</v>
      </c>
    </row>
    <row r="25" spans="1:13">
      <c r="A25" s="206" t="s">
        <v>2822</v>
      </c>
      <c r="B25" s="206" t="s">
        <v>1579</v>
      </c>
      <c r="C25" s="206" t="s">
        <v>1204</v>
      </c>
      <c r="D25" s="206" t="s">
        <v>2823</v>
      </c>
      <c r="E25" s="206" t="s">
        <v>2801</v>
      </c>
      <c r="F25" s="206" t="s">
        <v>2824</v>
      </c>
      <c r="G25" s="206" t="s">
        <v>2825</v>
      </c>
      <c r="H25" s="206" t="s">
        <v>65</v>
      </c>
      <c r="I25" s="206" t="str">
        <f>IF($B$5&lt;40,"🔄 Prenatal",IF($B$5&lt;92,"🧒 Postnatal","✅ Active"))</f>
        <v>🧒 Postnatal</v>
      </c>
      <c r="J25" s="206" t="s">
        <v>2826</v>
      </c>
    </row>
    <row r="26" spans="1:13">
      <c r="A26" s="207" t="s">
        <v>2827</v>
      </c>
      <c r="B26" s="207" t="s">
        <v>2828</v>
      </c>
      <c r="C26" s="207" t="s">
        <v>1204</v>
      </c>
      <c r="D26" s="207" t="s">
        <v>2829</v>
      </c>
      <c r="E26" s="207" t="s">
        <v>2830</v>
      </c>
      <c r="F26" s="207" t="s">
        <v>2831</v>
      </c>
      <c r="G26" s="207" t="s">
        <v>2832</v>
      </c>
      <c r="H26" s="207" t="s">
        <v>2129</v>
      </c>
      <c r="I26" s="207" t="str">
        <f>IF($B$5&lt;40,"🔄 Prenatal",IF($B$5&lt;92,"🧒 Postnatal","✅ Active"))</f>
        <v>🧒 Postnatal</v>
      </c>
      <c r="J26" s="207" t="s">
        <v>2833</v>
      </c>
    </row>
    <row r="28" spans="1:13" ht="15.75">
      <c r="A28" s="2" t="s">
        <v>2834</v>
      </c>
    </row>
    <row r="29" spans="1:13">
      <c r="A29" s="364" t="s">
        <v>2835</v>
      </c>
      <c r="B29" s="351"/>
      <c r="C29" s="351"/>
      <c r="D29" s="351"/>
      <c r="E29" s="351"/>
      <c r="F29" s="351"/>
      <c r="H29" s="365" t="s">
        <v>2836</v>
      </c>
      <c r="I29" s="366"/>
      <c r="J29" s="366"/>
      <c r="K29" s="366"/>
      <c r="L29" s="366"/>
      <c r="M29" s="366"/>
    </row>
    <row r="30" spans="1:13">
      <c r="A30" s="208" t="s">
        <v>2650</v>
      </c>
      <c r="B30" s="208" t="s">
        <v>2837</v>
      </c>
      <c r="C30" s="208" t="s">
        <v>2838</v>
      </c>
      <c r="D30" s="208" t="s">
        <v>2839</v>
      </c>
      <c r="E30" s="208" t="s">
        <v>2001</v>
      </c>
      <c r="F30" s="208" t="s">
        <v>2840</v>
      </c>
      <c r="H30" s="209" t="s">
        <v>2650</v>
      </c>
      <c r="I30" s="209" t="s">
        <v>2837</v>
      </c>
      <c r="J30" s="209" t="s">
        <v>2838</v>
      </c>
      <c r="K30" s="209" t="s">
        <v>2839</v>
      </c>
      <c r="L30" s="209" t="s">
        <v>2001</v>
      </c>
      <c r="M30" s="209" t="s">
        <v>2840</v>
      </c>
    </row>
    <row r="31" spans="1:13">
      <c r="A31" t="s">
        <v>2841</v>
      </c>
      <c r="B31" t="str">
        <f ca="1">IF($B$11&lt;0.5,"D","d")</f>
        <v>d</v>
      </c>
      <c r="C31" t="str">
        <f ca="1">IF(RAND()&lt;0.5,"D","d")</f>
        <v>D</v>
      </c>
      <c r="D31" t="str">
        <f ca="1">B31&amp;C31</f>
        <v>dD</v>
      </c>
      <c r="E31" t="str">
        <f ca="1">IF(OR(B31="D",C31="D"),"Dominant","Recessive")</f>
        <v>Dominant</v>
      </c>
      <c r="F31" t="str">
        <f ca="1">IF(AND(B31="D",C31="D"),"Homozygous Dom",IF(AND(B31="d",C31="d"),"Homozygous Rec","Heterozygous"))</f>
        <v>Homozygous Dom</v>
      </c>
      <c r="H31" t="s">
        <v>2841</v>
      </c>
      <c r="I31" t="str">
        <f ca="1">IF($B$12&lt;0.5,"D","d")</f>
        <v>d</v>
      </c>
      <c r="J31" t="str">
        <f ca="1">IF(RAND()&lt;0.5,"D","d")</f>
        <v>d</v>
      </c>
      <c r="K31" t="str">
        <f ca="1">I31&amp;J31</f>
        <v>dd</v>
      </c>
      <c r="L31" t="str">
        <f ca="1">IF(OR(I31="D",J31="D"),"Dominant","Recessive")</f>
        <v>Dominant</v>
      </c>
      <c r="M31" t="str">
        <f ca="1">IF(AND(I31="D",J31="D"),"Homozygous Dom",IF(AND(I31="d",J31="d"),"Homozygous Rec","Heterozygous"))</f>
        <v>Homozygous Dom</v>
      </c>
    </row>
    <row r="32" spans="1:13">
      <c r="A32" t="s">
        <v>2842</v>
      </c>
      <c r="B32" t="str">
        <f ca="1">IF($B$11&lt;0.5,"D","d")</f>
        <v>d</v>
      </c>
      <c r="C32" t="str">
        <f ca="1">IF(RAND()&lt;0.5,"D","d")</f>
        <v>d</v>
      </c>
      <c r="D32" t="str">
        <f ca="1">B32&amp;C32</f>
        <v>dd</v>
      </c>
      <c r="E32" t="str">
        <f ca="1">IF(OR(B32="D",C32="D"),"Dominant","Recessive")</f>
        <v>Dominant</v>
      </c>
      <c r="F32" t="str">
        <f ca="1">IF(AND(B32="D",C32="D"),"Homozygous Dom",IF(AND(B32="d",C32="d"),"Homozygous Rec","Heterozygous"))</f>
        <v>Homozygous Dom</v>
      </c>
      <c r="H32" t="s">
        <v>2842</v>
      </c>
      <c r="I32" t="str">
        <f ca="1">IF($B$12&lt;0.5,"D","d")</f>
        <v>d</v>
      </c>
      <c r="J32" t="str">
        <f ca="1">IF(RAND()&lt;0.5,"D","d")</f>
        <v>D</v>
      </c>
      <c r="K32" t="str">
        <f ca="1">I32&amp;J32</f>
        <v>dD</v>
      </c>
      <c r="L32" t="str">
        <f ca="1">IF(OR(I32="D",J32="D"),"Dominant","Recessive")</f>
        <v>Dominant</v>
      </c>
      <c r="M32" t="str">
        <f ca="1">IF(AND(I32="D",J32="D"),"Homozygous Dom",IF(AND(I32="d",J32="d"),"Homozygous Rec","Heterozygous"))</f>
        <v>Homozygous Dom</v>
      </c>
    </row>
    <row r="33" spans="1:13">
      <c r="A33" t="s">
        <v>2691</v>
      </c>
      <c r="B33" t="str">
        <f ca="1">IF($B$11&lt;0.5,"D","d")</f>
        <v>d</v>
      </c>
      <c r="C33" t="str">
        <f ca="1">IF(RAND()&lt;0.5,"D","d")</f>
        <v>D</v>
      </c>
      <c r="D33" t="str">
        <f ca="1">B33&amp;C33</f>
        <v>dD</v>
      </c>
      <c r="E33" t="str">
        <f ca="1">IF(OR(B33="D",C33="D"),"Dominant","Recessive")</f>
        <v>Dominant</v>
      </c>
      <c r="F33" t="str">
        <f ca="1">IF(AND(B33="D",C33="D"),"Homozygous Dom",IF(AND(B33="d",C33="d"),"Homozygous Rec","Heterozygous"))</f>
        <v>Homozygous Dom</v>
      </c>
      <c r="H33" t="s">
        <v>2691</v>
      </c>
      <c r="I33" t="str">
        <f ca="1">IF($B$12&lt;0.5,"D","d")</f>
        <v>d</v>
      </c>
      <c r="J33" t="str">
        <f ca="1">IF(RAND()&lt;0.5,"D","d")</f>
        <v>D</v>
      </c>
      <c r="K33" t="str">
        <f ca="1">I33&amp;J33</f>
        <v>dD</v>
      </c>
      <c r="L33" t="str">
        <f ca="1">IF(OR(I33="D",J33="D"),"Dominant","Recessive")</f>
        <v>Dominant</v>
      </c>
      <c r="M33" t="str">
        <f ca="1">IF(AND(I33="D",J33="D"),"Homozygous Dom",IF(AND(I33="d",J33="d"),"Homozygous Rec","Heterozygous"))</f>
        <v>Homozygous Dom</v>
      </c>
    </row>
    <row r="34" spans="1:13">
      <c r="A34" t="s">
        <v>2843</v>
      </c>
      <c r="B34" t="str">
        <f ca="1">IF($B$11&lt;0.5,"D","d")</f>
        <v>d</v>
      </c>
      <c r="C34" t="str">
        <f ca="1">IF(RAND()&lt;0.5,"D","d")</f>
        <v>D</v>
      </c>
      <c r="D34" t="str">
        <f ca="1">B34&amp;C34</f>
        <v>dD</v>
      </c>
      <c r="E34" t="str">
        <f ca="1">IF(OR(B34="D",C34="D"),"Dominant","Recessive")</f>
        <v>Dominant</v>
      </c>
      <c r="F34" t="str">
        <f ca="1">IF(AND(B34="D",C34="D"),"Homozygous Dom",IF(AND(B34="d",C34="d"),"Homozygous Rec","Heterozygous"))</f>
        <v>Homozygous Dom</v>
      </c>
      <c r="H34" t="s">
        <v>2843</v>
      </c>
      <c r="I34" t="str">
        <f ca="1">IF($B$12&lt;0.5,"D","d")</f>
        <v>d</v>
      </c>
      <c r="J34" t="str">
        <f ca="1">IF(RAND()&lt;0.5,"D","d")</f>
        <v>d</v>
      </c>
      <c r="K34" t="str">
        <f ca="1">I34&amp;J34</f>
        <v>dd</v>
      </c>
      <c r="L34" t="str">
        <f ca="1">IF(OR(I34="D",J34="D"),"Dominant","Recessive")</f>
        <v>Dominant</v>
      </c>
      <c r="M34" t="str">
        <f ca="1">IF(AND(I34="D",J34="D"),"Homozygous Dom",IF(AND(I34="d",J34="d"),"Homozygous Rec","Heterozygous"))</f>
        <v>Homozygous Dom</v>
      </c>
    </row>
    <row r="35" spans="1:13">
      <c r="A35" t="s">
        <v>2844</v>
      </c>
      <c r="B35" t="str">
        <f ca="1">IF($B$11&lt;0.5,"D","d")</f>
        <v>d</v>
      </c>
      <c r="C35" t="str">
        <f ca="1">IF(RAND()&lt;0.5,"D","d")</f>
        <v>D</v>
      </c>
      <c r="D35" t="str">
        <f ca="1">B35&amp;C35</f>
        <v>dD</v>
      </c>
      <c r="E35" t="str">
        <f ca="1">IF(OR(B35="D",C35="D"),"Dominant","Recessive")</f>
        <v>Dominant</v>
      </c>
      <c r="F35" t="str">
        <f ca="1">IF(AND(B35="D",C35="D"),"Homozygous Dom",IF(AND(B35="d",C35="d"),"Homozygous Rec","Heterozygous"))</f>
        <v>Homozygous Dom</v>
      </c>
      <c r="H35" t="s">
        <v>2844</v>
      </c>
      <c r="I35" t="str">
        <f ca="1">IF($B$12&lt;0.5,"D","d")</f>
        <v>d</v>
      </c>
      <c r="J35" t="str">
        <f ca="1">IF(RAND()&lt;0.5,"D","d")</f>
        <v>d</v>
      </c>
      <c r="K35" t="str">
        <f ca="1">I35&amp;J35</f>
        <v>dd</v>
      </c>
      <c r="L35" t="str">
        <f ca="1">IF(OR(I35="D",J35="D"),"Dominant","Recessive")</f>
        <v>Dominant</v>
      </c>
      <c r="M35" t="str">
        <f ca="1">IF(AND(I35="D",J35="D"),"Homozygous Dom",IF(AND(I35="d",J35="d"),"Homozygous Rec","Heterozygous"))</f>
        <v>Homozygous Dom</v>
      </c>
    </row>
    <row r="36" spans="1:13">
      <c r="A36" t="s">
        <v>2845</v>
      </c>
      <c r="B36" t="str">
        <f ca="1">IF($B$11&lt;0.5,"D","d")</f>
        <v>d</v>
      </c>
      <c r="C36" t="str">
        <f ca="1">IF(RAND()&lt;0.5,"D","d")</f>
        <v>D</v>
      </c>
      <c r="D36" t="str">
        <f ca="1">B36&amp;C36</f>
        <v>dD</v>
      </c>
      <c r="E36" t="str">
        <f ca="1">IF(OR(B36="D",C36="D"),"Dominant","Recessive")</f>
        <v>Dominant</v>
      </c>
      <c r="F36" t="str">
        <f ca="1">IF(AND(B36="D",C36="D"),"Homozygous Dom",IF(AND(B36="d",C36="d"),"Homozygous Rec","Heterozygous"))</f>
        <v>Homozygous Dom</v>
      </c>
      <c r="H36" t="s">
        <v>2845</v>
      </c>
      <c r="I36" t="str">
        <f ca="1">IF($B$12&lt;0.5,"D","d")</f>
        <v>d</v>
      </c>
      <c r="J36" t="str">
        <f ca="1">IF(RAND()&lt;0.5,"D","d")</f>
        <v>D</v>
      </c>
      <c r="K36" t="str">
        <f ca="1">I36&amp;J36</f>
        <v>dD</v>
      </c>
      <c r="L36" t="str">
        <f ca="1">IF(OR(I36="D",J36="D"),"Dominant","Recessive")</f>
        <v>Dominant</v>
      </c>
      <c r="M36" t="str">
        <f ca="1">IF(AND(I36="D",J36="D"),"Homozygous Dom",IF(AND(I36="d",J36="d"),"Homozygous Rec","Heterozygous"))</f>
        <v>Homozygous Dom</v>
      </c>
    </row>
    <row r="37" spans="1:13">
      <c r="A37" t="s">
        <v>2846</v>
      </c>
      <c r="B37" t="str">
        <f ca="1">IF($B$11&lt;0.5,"D","d")</f>
        <v>d</v>
      </c>
      <c r="C37" t="str">
        <f ca="1">IF(RAND()&lt;0.5,"D","d")</f>
        <v>d</v>
      </c>
      <c r="D37" t="str">
        <f ca="1">B37&amp;C37</f>
        <v>dd</v>
      </c>
      <c r="E37" t="str">
        <f ca="1">IF(OR(B37="D",C37="D"),"Dominant","Recessive")</f>
        <v>Dominant</v>
      </c>
      <c r="F37" t="str">
        <f ca="1">IF(AND(B37="D",C37="D"),"Homozygous Dom",IF(AND(B37="d",C37="d"),"Homozygous Rec","Heterozygous"))</f>
        <v>Homozygous Dom</v>
      </c>
      <c r="H37" t="s">
        <v>2846</v>
      </c>
      <c r="I37" t="str">
        <f ca="1">IF($B$12&lt;0.5,"D","d")</f>
        <v>d</v>
      </c>
      <c r="J37" t="str">
        <f ca="1">IF(RAND()&lt;0.5,"D","d")</f>
        <v>d</v>
      </c>
      <c r="K37" t="str">
        <f ca="1">I37&amp;J37</f>
        <v>dd</v>
      </c>
      <c r="L37" t="str">
        <f ca="1">IF(OR(I37="D",J37="D"),"Dominant","Recessive")</f>
        <v>Dominant</v>
      </c>
      <c r="M37" t="str">
        <f ca="1">IF(AND(I37="D",J37="D"),"Homozygous Dom",IF(AND(I37="d",J37="d"),"Homozygous Rec","Heterozygous"))</f>
        <v>Homozygous Dom</v>
      </c>
    </row>
    <row r="38" spans="1:13">
      <c r="A38" t="s">
        <v>2847</v>
      </c>
      <c r="B38" t="str">
        <f ca="1">IF($B$11&lt;0.5,"D","d")</f>
        <v>d</v>
      </c>
      <c r="C38" t="str">
        <f ca="1">IF(RAND()&lt;0.5,"D","d")</f>
        <v>D</v>
      </c>
      <c r="D38" t="str">
        <f ca="1">B38&amp;C38</f>
        <v>dD</v>
      </c>
      <c r="E38" t="str">
        <f ca="1">IF(OR(B38="D",C38="D"),"Dominant","Recessive")</f>
        <v>Dominant</v>
      </c>
      <c r="F38" t="str">
        <f ca="1">IF(AND(B38="D",C38="D"),"Homozygous Dom",IF(AND(B38="d",C38="d"),"Homozygous Rec","Heterozygous"))</f>
        <v>Homozygous Dom</v>
      </c>
      <c r="H38" t="s">
        <v>2847</v>
      </c>
      <c r="I38" t="str">
        <f ca="1">IF($B$12&lt;0.5,"D","d")</f>
        <v>d</v>
      </c>
      <c r="J38" t="str">
        <f ca="1">IF(RAND()&lt;0.5,"D","d")</f>
        <v>d</v>
      </c>
      <c r="K38" t="str">
        <f ca="1">I38&amp;J38</f>
        <v>dd</v>
      </c>
      <c r="L38" t="str">
        <f ca="1">IF(OR(I38="D",J38="D"),"Dominant","Recessive")</f>
        <v>Dominant</v>
      </c>
      <c r="M38" t="str">
        <f ca="1">IF(AND(I38="D",J38="D"),"Homozygous Dom",IF(AND(I38="d",J38="d"),"Homozygous Rec","Heterozygous"))</f>
        <v>Homozygous Dom</v>
      </c>
    </row>
    <row r="39" spans="1:13">
      <c r="A39" t="s">
        <v>2848</v>
      </c>
      <c r="B39" t="str">
        <f ca="1">IF($B$11&lt;0.5,"D","d")</f>
        <v>d</v>
      </c>
      <c r="C39" t="str">
        <f ca="1">IF(RAND()&lt;0.5,"D","d")</f>
        <v>D</v>
      </c>
      <c r="D39" t="str">
        <f ca="1">B39&amp;C39</f>
        <v>dD</v>
      </c>
      <c r="E39" t="str">
        <f ca="1">IF(OR(B39="D",C39="D"),"Dominant","Recessive")</f>
        <v>Dominant</v>
      </c>
      <c r="F39" t="str">
        <f ca="1">IF(AND(B39="D",C39="D"),"Homozygous Dom",IF(AND(B39="d",C39="d"),"Homozygous Rec","Heterozygous"))</f>
        <v>Homozygous Dom</v>
      </c>
      <c r="H39" t="s">
        <v>2848</v>
      </c>
      <c r="I39" t="str">
        <f ca="1">IF($B$12&lt;0.5,"D","d")</f>
        <v>d</v>
      </c>
      <c r="J39" t="str">
        <f ca="1">IF(RAND()&lt;0.5,"D","d")</f>
        <v>D</v>
      </c>
      <c r="K39" t="str">
        <f ca="1">I39&amp;J39</f>
        <v>dD</v>
      </c>
      <c r="L39" t="str">
        <f ca="1">IF(OR(I39="D",J39="D"),"Dominant","Recessive")</f>
        <v>Dominant</v>
      </c>
      <c r="M39" t="str">
        <f ca="1">IF(AND(I39="D",J39="D"),"Homozygous Dom",IF(AND(I39="d",J39="d"),"Homozygous Rec","Heterozygous"))</f>
        <v>Homozygous Dom</v>
      </c>
    </row>
    <row r="40" spans="1:13">
      <c r="A40" t="s">
        <v>2849</v>
      </c>
      <c r="B40" t="str">
        <f ca="1">IF($B$11&lt;0.5,"D","d")</f>
        <v>d</v>
      </c>
      <c r="C40" t="str">
        <f ca="1">IF(RAND()&lt;0.5,"D","d")</f>
        <v>D</v>
      </c>
      <c r="D40" t="str">
        <f ca="1">B40&amp;C40</f>
        <v>dD</v>
      </c>
      <c r="E40" t="str">
        <f ca="1">IF(OR(B40="D",C40="D"),"Dominant","Recessive")</f>
        <v>Dominant</v>
      </c>
      <c r="F40" t="str">
        <f ca="1">IF(AND(B40="D",C40="D"),"Homozygous Dom",IF(AND(B40="d",C40="d"),"Homozygous Rec","Heterozygous"))</f>
        <v>Homozygous Dom</v>
      </c>
      <c r="H40" t="s">
        <v>2849</v>
      </c>
      <c r="I40" t="str">
        <f ca="1">IF($B$12&lt;0.5,"D","d")</f>
        <v>d</v>
      </c>
      <c r="J40" t="str">
        <f ca="1">IF(RAND()&lt;0.5,"D","d")</f>
        <v>D</v>
      </c>
      <c r="K40" t="str">
        <f ca="1">I40&amp;J40</f>
        <v>dD</v>
      </c>
      <c r="L40" t="str">
        <f ca="1">IF(OR(I40="D",J40="D"),"Dominant","Recessive")</f>
        <v>Dominant</v>
      </c>
      <c r="M40" t="str">
        <f ca="1">IF(AND(I40="D",J40="D"),"Homozygous Dom",IF(AND(I40="d",J40="d"),"Homozygous Rec","Heterozygous"))</f>
        <v>Homozygous Dom</v>
      </c>
    </row>
    <row r="42" spans="1:13" ht="15.75">
      <c r="A42" s="2" t="s">
        <v>2850</v>
      </c>
    </row>
    <row r="43" spans="1:13">
      <c r="A43" s="172" t="s">
        <v>2650</v>
      </c>
      <c r="B43" s="172" t="s">
        <v>2851</v>
      </c>
      <c r="C43" s="172" t="s">
        <v>2852</v>
      </c>
      <c r="D43" s="172" t="s">
        <v>2853</v>
      </c>
      <c r="E43" s="172" t="s">
        <v>2001</v>
      </c>
      <c r="F43" s="172" t="s">
        <v>2854</v>
      </c>
      <c r="G43" s="172" t="s">
        <v>2855</v>
      </c>
      <c r="H43" s="172" t="s">
        <v>2856</v>
      </c>
      <c r="I43" s="172" t="s">
        <v>2857</v>
      </c>
    </row>
    <row r="44" spans="1:13">
      <c r="A44" s="210" t="s">
        <v>2841</v>
      </c>
      <c r="B44" s="210" t="str">
        <f ca="1">IF(RAND()&lt;0.5,B31,C31)</f>
        <v>D</v>
      </c>
      <c r="C44" s="210" t="str">
        <f ca="1">IF(RAND()&lt;0.5,I31,J31)</f>
        <v>d</v>
      </c>
      <c r="D44" s="210" t="str">
        <f ca="1">B44&amp;C44</f>
        <v>Dd</v>
      </c>
      <c r="E44" s="210" t="str">
        <f ca="1">IF(OR(B44="D",C44="D"),"Dominant","Recessive")</f>
        <v>Dominant</v>
      </c>
      <c r="F44" s="210" t="str">
        <f ca="1">IF(RAND()&lt;$B$8,"⚠️ YES","No")</f>
        <v>No</v>
      </c>
      <c r="G44" s="210" t="str">
        <f ca="1">IF(F44="⚠️ YES",IF(RAND()&lt;0.5,SUBSTITUTE(D44,"D","d"),SUBSTITUTE(D44,"d","D")),D44)</f>
        <v>Dd</v>
      </c>
      <c r="H44" s="210" t="str">
        <f ca="1">IF(EXACT(G44,"dd"),"Recessive Expressed","Dominant Expressed")</f>
        <v>Dominant Expressed</v>
      </c>
      <c r="I44" s="210" t="str">
        <f ca="1">IF(EXACT(G44,"DD"),"Homozygous Dominant",IF(EXACT(G44,"dd"),"Homozygous Recessive","Heterozygous"))</f>
        <v>Heterozygous</v>
      </c>
    </row>
    <row r="45" spans="1:13">
      <c r="A45" s="210" t="s">
        <v>2842</v>
      </c>
      <c r="B45" s="210" t="str">
        <f ca="1">IF(RAND()&lt;0.5,B32,C32)</f>
        <v>d</v>
      </c>
      <c r="C45" s="210" t="str">
        <f ca="1">IF(RAND()&lt;0.5,I32,J32)</f>
        <v>D</v>
      </c>
      <c r="D45" s="210" t="str">
        <f ca="1">B45&amp;C45</f>
        <v>dD</v>
      </c>
      <c r="E45" s="210" t="str">
        <f ca="1">IF(OR(B45="D",C45="D"),"Dominant","Recessive")</f>
        <v>Dominant</v>
      </c>
      <c r="F45" s="210" t="str">
        <f ca="1">IF(RAND()&lt;$B$8,"⚠️ YES","No")</f>
        <v>No</v>
      </c>
      <c r="G45" s="210" t="str">
        <f ca="1">IF(F45="⚠️ YES",IF(RAND()&lt;0.5,SUBSTITUTE(D45,"D","d"),SUBSTITUTE(D45,"d","D")),D45)</f>
        <v>dD</v>
      </c>
      <c r="H45" s="210" t="str">
        <f ca="1">IF(EXACT(G45,"dd"),"Recessive Expressed","Dominant Expressed")</f>
        <v>Dominant Expressed</v>
      </c>
      <c r="I45" s="210" t="str">
        <f ca="1">IF(EXACT(G45,"DD"),"Homozygous Dominant",IF(EXACT(G45,"dd"),"Homozygous Recessive","Heterozygous"))</f>
        <v>Heterozygous</v>
      </c>
    </row>
    <row r="46" spans="1:13">
      <c r="A46" s="210" t="s">
        <v>2691</v>
      </c>
      <c r="B46" s="210" t="str">
        <f ca="1">IF(RAND()&lt;0.5,B33,C33)</f>
        <v>D</v>
      </c>
      <c r="C46" s="210" t="str">
        <f ca="1">IF(RAND()&lt;0.5,I33,J33)</f>
        <v>D</v>
      </c>
      <c r="D46" s="210" t="str">
        <f ca="1">B46&amp;C46</f>
        <v>DD</v>
      </c>
      <c r="E46" s="210" t="str">
        <f ca="1">IF(OR(B46="D",C46="D"),"Dominant","Recessive")</f>
        <v>Dominant</v>
      </c>
      <c r="F46" s="210" t="str">
        <f ca="1">IF(RAND()&lt;$B$8,"⚠️ YES","No")</f>
        <v>No</v>
      </c>
      <c r="G46" s="210" t="str">
        <f ca="1">IF(F46="⚠️ YES",IF(RAND()&lt;0.5,SUBSTITUTE(D46,"D","d"),SUBSTITUTE(D46,"d","D")),D46)</f>
        <v>DD</v>
      </c>
      <c r="H46" s="210" t="str">
        <f ca="1">IF(EXACT(G46,"dd"),"Recessive Expressed","Dominant Expressed")</f>
        <v>Dominant Expressed</v>
      </c>
      <c r="I46" s="210" t="str">
        <f ca="1">IF(EXACT(G46,"DD"),"Homozygous Dominant",IF(EXACT(G46,"dd"),"Homozygous Recessive","Heterozygous"))</f>
        <v>Homozygous Dominant</v>
      </c>
    </row>
    <row r="47" spans="1:13">
      <c r="A47" s="210" t="s">
        <v>2843</v>
      </c>
      <c r="B47" s="210" t="str">
        <f ca="1">IF(RAND()&lt;0.5,B34,C34)</f>
        <v>d</v>
      </c>
      <c r="C47" s="210" t="str">
        <f ca="1">IF(RAND()&lt;0.5,I34,J34)</f>
        <v>d</v>
      </c>
      <c r="D47" s="210" t="str">
        <f ca="1">B47&amp;C47</f>
        <v>dd</v>
      </c>
      <c r="E47" s="210" t="str">
        <f ca="1">IF(OR(B47="D",C47="D"),"Dominant","Recessive")</f>
        <v>Dominant</v>
      </c>
      <c r="F47" s="210" t="str">
        <f ca="1">IF(RAND()&lt;$B$8,"⚠️ YES","No")</f>
        <v>No</v>
      </c>
      <c r="G47" s="210" t="str">
        <f ca="1">IF(F47="⚠️ YES",IF(RAND()&lt;0.5,SUBSTITUTE(D47,"D","d"),SUBSTITUTE(D47,"d","D")),D47)</f>
        <v>dd</v>
      </c>
      <c r="H47" s="210" t="str">
        <f ca="1">IF(EXACT(G47,"dd"),"Recessive Expressed","Dominant Expressed")</f>
        <v>Recessive Expressed</v>
      </c>
      <c r="I47" s="210" t="str">
        <f ca="1">IF(EXACT(G47,"DD"),"Homozygous Dominant",IF(EXACT(G47,"dd"),"Homozygous Recessive","Heterozygous"))</f>
        <v>Homozygous Recessive</v>
      </c>
    </row>
    <row r="48" spans="1:13">
      <c r="A48" s="210" t="s">
        <v>2844</v>
      </c>
      <c r="B48" s="210" t="str">
        <f ca="1">IF(RAND()&lt;0.5,B35,C35)</f>
        <v>d</v>
      </c>
      <c r="C48" s="210" t="str">
        <f ca="1">IF(RAND()&lt;0.5,I35,J35)</f>
        <v>d</v>
      </c>
      <c r="D48" s="210" t="str">
        <f ca="1">B48&amp;C48</f>
        <v>dd</v>
      </c>
      <c r="E48" s="210" t="str">
        <f ca="1">IF(OR(B48="D",C48="D"),"Dominant","Recessive")</f>
        <v>Dominant</v>
      </c>
      <c r="F48" s="210" t="str">
        <f ca="1">IF(RAND()&lt;$B$8,"⚠️ YES","No")</f>
        <v>No</v>
      </c>
      <c r="G48" s="210" t="str">
        <f ca="1">IF(F48="⚠️ YES",IF(RAND()&lt;0.5,SUBSTITUTE(D48,"D","d"),SUBSTITUTE(D48,"d","D")),D48)</f>
        <v>dd</v>
      </c>
      <c r="H48" s="210" t="str">
        <f ca="1">IF(EXACT(G48,"dd"),"Recessive Expressed","Dominant Expressed")</f>
        <v>Recessive Expressed</v>
      </c>
      <c r="I48" s="210" t="str">
        <f ca="1">IF(EXACT(G48,"DD"),"Homozygous Dominant",IF(EXACT(G48,"dd"),"Homozygous Recessive","Heterozygous"))</f>
        <v>Homozygous Recessive</v>
      </c>
    </row>
    <row r="49" spans="1:9">
      <c r="A49" s="210" t="s">
        <v>2845</v>
      </c>
      <c r="B49" s="210" t="str">
        <f ca="1">IF(RAND()&lt;0.5,B36,C36)</f>
        <v>D</v>
      </c>
      <c r="C49" s="210" t="str">
        <f ca="1">IF(RAND()&lt;0.5,I36,J36)</f>
        <v>D</v>
      </c>
      <c r="D49" s="210" t="str">
        <f ca="1">B49&amp;C49</f>
        <v>DD</v>
      </c>
      <c r="E49" s="210" t="str">
        <f ca="1">IF(OR(B49="D",C49="D"),"Dominant","Recessive")</f>
        <v>Dominant</v>
      </c>
      <c r="F49" s="210" t="str">
        <f ca="1">IF(RAND()&lt;$B$8,"⚠️ YES","No")</f>
        <v>No</v>
      </c>
      <c r="G49" s="210" t="str">
        <f ca="1">IF(F49="⚠️ YES",IF(RAND()&lt;0.5,SUBSTITUTE(D49,"D","d"),SUBSTITUTE(D49,"d","D")),D49)</f>
        <v>DD</v>
      </c>
      <c r="H49" s="210" t="str">
        <f ca="1">IF(EXACT(G49,"dd"),"Recessive Expressed","Dominant Expressed")</f>
        <v>Dominant Expressed</v>
      </c>
      <c r="I49" s="210" t="str">
        <f ca="1">IF(EXACT(G49,"DD"),"Homozygous Dominant",IF(EXACT(G49,"dd"),"Homozygous Recessive","Heterozygous"))</f>
        <v>Homozygous Dominant</v>
      </c>
    </row>
    <row r="50" spans="1:9">
      <c r="A50" s="210" t="s">
        <v>2846</v>
      </c>
      <c r="B50" s="210" t="str">
        <f ca="1">IF(RAND()&lt;0.5,B37,C37)</f>
        <v>d</v>
      </c>
      <c r="C50" s="210" t="str">
        <f ca="1">IF(RAND()&lt;0.5,I37,J37)</f>
        <v>d</v>
      </c>
      <c r="D50" s="210" t="str">
        <f ca="1">B50&amp;C50</f>
        <v>dd</v>
      </c>
      <c r="E50" s="210" t="str">
        <f ca="1">IF(OR(B50="D",C50="D"),"Dominant","Recessive")</f>
        <v>Dominant</v>
      </c>
      <c r="F50" s="210" t="str">
        <f ca="1">IF(RAND()&lt;$B$8,"⚠️ YES","No")</f>
        <v>No</v>
      </c>
      <c r="G50" s="210" t="str">
        <f ca="1">IF(F50="⚠️ YES",IF(RAND()&lt;0.5,SUBSTITUTE(D50,"D","d"),SUBSTITUTE(D50,"d","D")),D50)</f>
        <v>dd</v>
      </c>
      <c r="H50" s="210" t="str">
        <f ca="1">IF(EXACT(G50,"dd"),"Recessive Expressed","Dominant Expressed")</f>
        <v>Recessive Expressed</v>
      </c>
      <c r="I50" s="210" t="str">
        <f ca="1">IF(EXACT(G50,"DD"),"Homozygous Dominant",IF(EXACT(G50,"dd"),"Homozygous Recessive","Heterozygous"))</f>
        <v>Homozygous Recessive</v>
      </c>
    </row>
    <row r="51" spans="1:9">
      <c r="A51" s="210" t="s">
        <v>2847</v>
      </c>
      <c r="B51" s="210" t="str">
        <f ca="1">IF(RAND()&lt;0.5,B38,C38)</f>
        <v>d</v>
      </c>
      <c r="C51" s="210" t="str">
        <f ca="1">IF(RAND()&lt;0.5,I38,J38)</f>
        <v>d</v>
      </c>
      <c r="D51" s="210" t="str">
        <f ca="1">B51&amp;C51</f>
        <v>dd</v>
      </c>
      <c r="E51" s="210" t="str">
        <f ca="1">IF(OR(B51="D",C51="D"),"Dominant","Recessive")</f>
        <v>Dominant</v>
      </c>
      <c r="F51" s="210" t="str">
        <f ca="1">IF(RAND()&lt;$B$8,"⚠️ YES","No")</f>
        <v>No</v>
      </c>
      <c r="G51" s="210" t="str">
        <f ca="1">IF(F51="⚠️ YES",IF(RAND()&lt;0.5,SUBSTITUTE(D51,"D","d"),SUBSTITUTE(D51,"d","D")),D51)</f>
        <v>dd</v>
      </c>
      <c r="H51" s="210" t="str">
        <f ca="1">IF(EXACT(G51,"dd"),"Recessive Expressed","Dominant Expressed")</f>
        <v>Recessive Expressed</v>
      </c>
      <c r="I51" s="210" t="str">
        <f ca="1">IF(EXACT(G51,"DD"),"Homozygous Dominant",IF(EXACT(G51,"dd"),"Homozygous Recessive","Heterozygous"))</f>
        <v>Homozygous Recessive</v>
      </c>
    </row>
    <row r="52" spans="1:9">
      <c r="A52" s="210" t="s">
        <v>2848</v>
      </c>
      <c r="B52" s="210" t="str">
        <f ca="1">IF(RAND()&lt;0.5,B39,C39)</f>
        <v>d</v>
      </c>
      <c r="C52" s="210" t="str">
        <f ca="1">IF(RAND()&lt;0.5,I39,J39)</f>
        <v>d</v>
      </c>
      <c r="D52" s="210" t="str">
        <f ca="1">B52&amp;C52</f>
        <v>dd</v>
      </c>
      <c r="E52" s="210" t="str">
        <f ca="1">IF(OR(B52="D",C52="D"),"Dominant","Recessive")</f>
        <v>Dominant</v>
      </c>
      <c r="F52" s="210" t="str">
        <f ca="1">IF(RAND()&lt;$B$8,"⚠️ YES","No")</f>
        <v>No</v>
      </c>
      <c r="G52" s="210" t="str">
        <f ca="1">IF(F52="⚠️ YES",IF(RAND()&lt;0.5,SUBSTITUTE(D52,"D","d"),SUBSTITUTE(D52,"d","D")),D52)</f>
        <v>dd</v>
      </c>
      <c r="H52" s="210" t="str">
        <f ca="1">IF(EXACT(G52,"dd"),"Recessive Expressed","Dominant Expressed")</f>
        <v>Recessive Expressed</v>
      </c>
      <c r="I52" s="210" t="str">
        <f ca="1">IF(EXACT(G52,"DD"),"Homozygous Dominant",IF(EXACT(G52,"dd"),"Homozygous Recessive","Heterozygous"))</f>
        <v>Homozygous Recessive</v>
      </c>
    </row>
    <row r="53" spans="1:9">
      <c r="A53" s="210" t="s">
        <v>2849</v>
      </c>
      <c r="B53" s="210" t="str">
        <f ca="1">IF(RAND()&lt;0.5,B40,C40)</f>
        <v>D</v>
      </c>
      <c r="C53" s="210" t="str">
        <f ca="1">IF(RAND()&lt;0.5,I40,J40)</f>
        <v>D</v>
      </c>
      <c r="D53" s="210" t="str">
        <f ca="1">B53&amp;C53</f>
        <v>DD</v>
      </c>
      <c r="E53" s="210" t="str">
        <f ca="1">IF(OR(B53="D",C53="D"),"Dominant","Recessive")</f>
        <v>Dominant</v>
      </c>
      <c r="F53" s="210" t="str">
        <f ca="1">IF(RAND()&lt;$B$8,"⚠️ YES","No")</f>
        <v>No</v>
      </c>
      <c r="G53" s="210" t="str">
        <f ca="1">IF(F53="⚠️ YES",IF(RAND()&lt;0.5,SUBSTITUTE(D53,"D","d"),SUBSTITUTE(D53,"d","D")),D53)</f>
        <v>DD</v>
      </c>
      <c r="H53" s="210" t="str">
        <f ca="1">IF(EXACT(G53,"dd"),"Recessive Expressed","Dominant Expressed")</f>
        <v>Dominant Expressed</v>
      </c>
      <c r="I53" s="210" t="str">
        <f ca="1">IF(EXACT(G53,"DD"),"Homozygous Dominant",IF(EXACT(G53,"dd"),"Homozygous Recessive","Heterozygous"))</f>
        <v>Homozygous Dominant</v>
      </c>
    </row>
    <row r="55" spans="1:9" ht="15.75">
      <c r="A55" s="2" t="s">
        <v>2858</v>
      </c>
    </row>
    <row r="56" spans="1:9">
      <c r="A56" s="183" t="s">
        <v>2650</v>
      </c>
      <c r="B56" s="183" t="s">
        <v>2859</v>
      </c>
      <c r="C56" s="183" t="s">
        <v>2860</v>
      </c>
      <c r="D56" s="183" t="s">
        <v>2861</v>
      </c>
      <c r="E56" s="183" t="s">
        <v>1752</v>
      </c>
      <c r="F56" s="183" t="s">
        <v>2862</v>
      </c>
      <c r="G56" s="183" t="s">
        <v>2863</v>
      </c>
      <c r="H56" s="183" t="s">
        <v>2864</v>
      </c>
    </row>
    <row r="57" spans="1:9">
      <c r="A57" s="182" t="s">
        <v>2865</v>
      </c>
      <c r="B57" s="182">
        <f ca="1">165*(0.9+$B$11*0.2)</f>
        <v>180.33529579904297</v>
      </c>
      <c r="C57" s="182">
        <f ca="1">178*(0.9+$B$12*0.2)</f>
        <v>192.39295407679631</v>
      </c>
      <c r="D57" s="182">
        <f ca="1">(B57+C57)/2</f>
        <v>186.36412493791966</v>
      </c>
      <c r="E57" s="182">
        <f ca="1">D57*(0.95+RAND()*0.1)</f>
        <v>186.53889029275916</v>
      </c>
      <c r="F57" s="182">
        <f ca="1">IF(RAND()&lt;$B$8,(RAND()-0.5)*D57*0.1,0)</f>
        <v>0</v>
      </c>
      <c r="G57" s="182">
        <f ca="1">E57+F57</f>
        <v>186.53889029275916</v>
      </c>
      <c r="H57" s="182" t="str">
        <f ca="1">ROUND(_xlfn.NORM.DIST(G57,D57,D57*0.05,TRUE)*100,0)&amp;"%"</f>
        <v>51%</v>
      </c>
    </row>
    <row r="58" spans="1:9">
      <c r="A58" s="182" t="s">
        <v>2866</v>
      </c>
      <c r="B58" s="182">
        <f ca="1">60*(0.9+$B$11*0.2)</f>
        <v>65.576471199651991</v>
      </c>
      <c r="C58" s="182">
        <f ca="1">75*(0.9+$B$12*0.2)</f>
        <v>81.064446942470354</v>
      </c>
      <c r="D58" s="182">
        <f ca="1">(B58+C58)/2</f>
        <v>73.32045907106118</v>
      </c>
      <c r="E58" s="182">
        <f ca="1">D58*(0.95+RAND()*0.1)</f>
        <v>72.401987629655252</v>
      </c>
      <c r="F58" s="182">
        <f ca="1">IF(RAND()&lt;$B$8,(RAND()-0.5)*D58*0.1,0)</f>
        <v>0</v>
      </c>
      <c r="G58" s="182">
        <f ca="1">E58+F58</f>
        <v>72.401987629655252</v>
      </c>
      <c r="H58" s="182" t="str">
        <f ca="1">ROUND(_xlfn.NORM.DIST(G58,D58,D58*0.05,TRUE)*100,0)&amp;"%"</f>
        <v>40%</v>
      </c>
    </row>
    <row r="59" spans="1:9">
      <c r="A59" s="182" t="s">
        <v>2867</v>
      </c>
      <c r="B59" s="182">
        <f ca="1">100*(0.9+$B$11*0.2)</f>
        <v>109.29411866608665</v>
      </c>
      <c r="C59" s="182">
        <f ca="1">105*(0.9+$B$12*0.2)</f>
        <v>113.49022571945851</v>
      </c>
      <c r="D59" s="182">
        <f ca="1">(B59+C59)/2</f>
        <v>111.39217219277258</v>
      </c>
      <c r="E59" s="182">
        <f ca="1">D59*(0.95+RAND()*0.1)</f>
        <v>109.37283207558345</v>
      </c>
      <c r="F59" s="182">
        <f ca="1">IF(RAND()&lt;$B$8,(RAND()-0.5)*D59*0.1,0)</f>
        <v>0</v>
      </c>
      <c r="G59" s="182">
        <f ca="1">E59+F59</f>
        <v>109.37283207558345</v>
      </c>
      <c r="H59" s="182" t="str">
        <f ca="1">ROUND(_xlfn.NORM.DIST(G59,D59,D59*0.05,TRUE)*100,0)&amp;"%"</f>
        <v>36%</v>
      </c>
    </row>
    <row r="60" spans="1:9">
      <c r="A60" s="182" t="s">
        <v>2868</v>
      </c>
      <c r="B60" s="182">
        <f ca="1">82*(0.9+$B$11*0.2)</f>
        <v>89.621177306191058</v>
      </c>
      <c r="C60" s="182">
        <f ca="1">78*(0.9+$B$12*0.2)</f>
        <v>84.307024820169175</v>
      </c>
      <c r="D60" s="182">
        <f ca="1">(B60+C60)/2</f>
        <v>86.964101063180124</v>
      </c>
      <c r="E60" s="182">
        <f ca="1">D60*(0.95+RAND()*0.1)</f>
        <v>88.784346426560532</v>
      </c>
      <c r="F60" s="182">
        <f ca="1">IF(RAND()&lt;$B$8,(RAND()-0.5)*D60*0.1,0)</f>
        <v>0</v>
      </c>
      <c r="G60" s="182">
        <f ca="1">E60+F60</f>
        <v>88.784346426560532</v>
      </c>
      <c r="H60" s="182" t="str">
        <f ca="1">ROUND(_xlfn.NORM.DIST(G60,D60,D60*0.05,TRUE)*100,0)&amp;"%"</f>
        <v>66%</v>
      </c>
    </row>
    <row r="61" spans="1:9">
      <c r="A61" s="182" t="s">
        <v>2869</v>
      </c>
      <c r="B61" s="182">
        <f ca="1">1*(0.9+$B$11*0.2)</f>
        <v>1.0929411866608665</v>
      </c>
      <c r="C61" s="182">
        <f ca="1">1.1*(0.9+$B$12*0.2)</f>
        <v>1.1889452218228986</v>
      </c>
      <c r="D61" s="182">
        <f ca="1">(B61+C61)/2</f>
        <v>1.1409432042418826</v>
      </c>
      <c r="E61" s="182">
        <f ca="1">D61*(0.95+RAND()*0.1)</f>
        <v>1.1399496019230586</v>
      </c>
      <c r="F61" s="182">
        <f ca="1">IF(RAND()&lt;$B$8,(RAND()-0.5)*D61*0.1,0)</f>
        <v>0</v>
      </c>
      <c r="G61" s="182">
        <f ca="1">E61+F61</f>
        <v>1.1399496019230586</v>
      </c>
      <c r="H61" s="182" t="str">
        <f ca="1">ROUND(_xlfn.NORM.DIST(G61,D61,D61*0.05,TRUE)*100,0)&amp;"%"</f>
        <v>49%</v>
      </c>
    </row>
    <row r="62" spans="1:9">
      <c r="A62" s="182" t="s">
        <v>2870</v>
      </c>
      <c r="B62" s="182">
        <f ca="1">0.85*(0.9+$B$11*0.2)</f>
        <v>0.92900000866173649</v>
      </c>
      <c r="C62" s="182">
        <f ca="1">0.9*(0.9+$B$12*0.2)</f>
        <v>0.97277336330964437</v>
      </c>
      <c r="D62" s="182">
        <f ca="1">(B62+C62)/2</f>
        <v>0.95088668598569037</v>
      </c>
      <c r="E62" s="182">
        <f ca="1">D62*(0.95+RAND()*0.1)</f>
        <v>0.93685984706899483</v>
      </c>
      <c r="F62" s="182">
        <f ca="1">IF(RAND()&lt;$B$8,(RAND()-0.5)*D62*0.1,0)</f>
        <v>0</v>
      </c>
      <c r="G62" s="182">
        <f ca="1">E62+F62</f>
        <v>0.93685984706899483</v>
      </c>
      <c r="H62" s="182" t="str">
        <f ca="1">ROUND(_xlfn.NORM.DIST(G62,D62,D62*0.05,TRUE)*100,0)&amp;"%"</f>
        <v>38%</v>
      </c>
    </row>
    <row r="63" spans="1:9">
      <c r="A63" s="182" t="s">
        <v>2871</v>
      </c>
      <c r="B63" s="182">
        <f ca="1">0.88*(0.9+$B$11*0.2)</f>
        <v>0.96178824426156251</v>
      </c>
      <c r="C63" s="182">
        <f ca="1">0.92*(0.9+$B$12*0.2)</f>
        <v>0.99439054916096981</v>
      </c>
      <c r="D63" s="182">
        <f ca="1">(B63+C63)/2</f>
        <v>0.97808939671126616</v>
      </c>
      <c r="E63" s="182">
        <f ca="1">D63*(0.95+RAND()*0.1)</f>
        <v>0.97881435189650356</v>
      </c>
      <c r="F63" s="182">
        <f ca="1">IF(RAND()&lt;$B$8,(RAND()-0.5)*D63*0.1,0)</f>
        <v>0</v>
      </c>
      <c r="G63" s="182">
        <f ca="1">E63+F63</f>
        <v>0.97881435189650356</v>
      </c>
      <c r="H63" s="182" t="str">
        <f ca="1">ROUND(_xlfn.NORM.DIST(G63,D63,D63*0.05,TRUE)*100,0)&amp;"%"</f>
        <v>51%</v>
      </c>
    </row>
    <row r="64" spans="1:9">
      <c r="A64" s="182" t="s">
        <v>2872</v>
      </c>
      <c r="B64" s="182">
        <f ca="1">0.75*(0.9+$B$11*0.2)</f>
        <v>0.81970588999564986</v>
      </c>
      <c r="C64" s="182">
        <f ca="1">0.85*(0.9+$B$12*0.2)</f>
        <v>0.91873039868133066</v>
      </c>
      <c r="D64" s="182">
        <f ca="1">(B64+C64)/2</f>
        <v>0.86921814433849032</v>
      </c>
      <c r="E64" s="182">
        <f ca="1">D64*(0.95+RAND()*0.1)</f>
        <v>0.82711249271543874</v>
      </c>
      <c r="F64" s="182">
        <f ca="1">IF(RAND()&lt;$B$8,(RAND()-0.5)*D64*0.1,0)</f>
        <v>0</v>
      </c>
      <c r="G64" s="182">
        <f ca="1">E64+F64</f>
        <v>0.82711249271543874</v>
      </c>
      <c r="H64" s="182" t="str">
        <f ca="1">ROUND(_xlfn.NORM.DIST(G64,D64,D64*0.05,TRUE)*100,0)&amp;"%"</f>
        <v>17%</v>
      </c>
    </row>
    <row r="66" spans="1:10" ht="15.75">
      <c r="A66" s="2" t="s">
        <v>2873</v>
      </c>
      <c r="H66" s="1" t="s">
        <v>2874</v>
      </c>
    </row>
    <row r="67" spans="1:10">
      <c r="A67" s="211" t="s">
        <v>2875</v>
      </c>
      <c r="B67" s="211" t="s">
        <v>2876</v>
      </c>
      <c r="C67" s="211" t="s">
        <v>2877</v>
      </c>
      <c r="D67" s="211" t="s">
        <v>2878</v>
      </c>
      <c r="E67" s="211" t="s">
        <v>2879</v>
      </c>
      <c r="F67" s="211" t="s">
        <v>562</v>
      </c>
      <c r="H67" s="211" t="s">
        <v>591</v>
      </c>
      <c r="I67" s="211" t="s">
        <v>592</v>
      </c>
      <c r="J67" s="211" t="s">
        <v>718</v>
      </c>
    </row>
    <row r="68" spans="1:10">
      <c r="A68" s="212" t="s">
        <v>2880</v>
      </c>
      <c r="B68" s="212">
        <v>0.8</v>
      </c>
      <c r="C68" s="212">
        <v>0.15</v>
      </c>
      <c r="D68" s="212">
        <f>B68*C68*$B$10</f>
        <v>0.12</v>
      </c>
      <c r="E68" s="212" t="str">
        <f>IF(D68&gt;0.1,"↑ Upregulated",IF(D68&lt;0.05,"↓ Downregulated","→ Stable"))</f>
        <v>↑ Upregulated</v>
      </c>
      <c r="F68" s="212" t="str">
        <f>IF(D68&gt;0.15,"🟢 Strong",IF(D68&gt;0.08,"🟡 Moderate","🔴 Weak"))</f>
        <v>🟡 Moderate</v>
      </c>
      <c r="H68" s="207" t="s">
        <v>2881</v>
      </c>
      <c r="I68" s="207" t="str">
        <f ca="1">IF(ISERROR('Sex Random Math'!B5),'Sex Random Math'!B5,"XY")</f>
        <v>XY</v>
      </c>
      <c r="J68" s="207" t="s">
        <v>2882</v>
      </c>
    </row>
    <row r="69" spans="1:10">
      <c r="A69" s="212" t="s">
        <v>2883</v>
      </c>
      <c r="B69" s="212">
        <v>0.3</v>
      </c>
      <c r="C69" s="212">
        <v>0.2</v>
      </c>
      <c r="D69" s="212">
        <f>B69*C69*$B$10</f>
        <v>0.06</v>
      </c>
      <c r="E69" s="212" t="str">
        <f>IF(D69&gt;0.1,"↑ Upregulated",IF(D69&lt;0.05,"↓ Downregulated","→ Stable"))</f>
        <v>→ Stable</v>
      </c>
      <c r="F69" s="212" t="str">
        <f>IF(D69&gt;0.15,"🟢 Strong",IF(D69&gt;0.08,"🟡 Moderate","🔴 Weak"))</f>
        <v>🔴 Weak</v>
      </c>
      <c r="H69" s="207" t="s">
        <v>2581</v>
      </c>
      <c r="I69" s="207" t="str">
        <f ca="1">IF(I68="XX","♀ Female","♂ Male")</f>
        <v>♂ Male</v>
      </c>
      <c r="J69" s="207" t="s">
        <v>2884</v>
      </c>
    </row>
    <row r="70" spans="1:10">
      <c r="A70" s="212" t="s">
        <v>2885</v>
      </c>
      <c r="B70" s="212">
        <v>0.1</v>
      </c>
      <c r="C70" s="212">
        <v>0.25</v>
      </c>
      <c r="D70" s="212">
        <f>B70*C70*$B$10</f>
        <v>2.5000000000000001E-2</v>
      </c>
      <c r="E70" s="212" t="str">
        <f>IF(D70&gt;0.1,"↑ Upregulated",IF(D70&lt;0.05,"↓ Downregulated","→ Stable"))</f>
        <v>↓ Downregulated</v>
      </c>
      <c r="F70" s="212" t="str">
        <f>IF(D70&gt;0.15,"🟢 Strong",IF(D70&gt;0.08,"🟡 Moderate","🔴 Weak"))</f>
        <v>🔴 Weak</v>
      </c>
      <c r="H70" s="207" t="s">
        <v>2886</v>
      </c>
      <c r="I70" s="207" t="str">
        <f ca="1">IF(I68="XY","X-linked recessive expressed","X-linked carried")</f>
        <v>X-linked recessive expressed</v>
      </c>
      <c r="J70" s="207" t="s">
        <v>2887</v>
      </c>
    </row>
    <row r="71" spans="1:10">
      <c r="A71" s="212" t="s">
        <v>2888</v>
      </c>
      <c r="B71" s="212">
        <v>0.5</v>
      </c>
      <c r="C71" s="212">
        <v>0.1</v>
      </c>
      <c r="D71" s="212">
        <f>B71*C71*$B$10</f>
        <v>0.05</v>
      </c>
      <c r="E71" s="212" t="str">
        <f>IF(D71&gt;0.1,"↑ Upregulated",IF(D71&lt;0.05,"↓ Downregulated","→ Stable"))</f>
        <v>→ Stable</v>
      </c>
      <c r="F71" s="212" t="str">
        <f>IF(D71&gt;0.15,"🟢 Strong",IF(D71&gt;0.08,"🟡 Moderate","🔴 Weak"))</f>
        <v>🔴 Weak</v>
      </c>
    </row>
    <row r="72" spans="1:10">
      <c r="A72" s="212" t="s">
        <v>2889</v>
      </c>
      <c r="B72" s="212">
        <v>0.7</v>
      </c>
      <c r="C72" s="212">
        <v>0.15</v>
      </c>
      <c r="D72" s="212">
        <f>B72*C72*$B$10</f>
        <v>0.105</v>
      </c>
      <c r="E72" s="212" t="str">
        <f>IF(D72&gt;0.1,"↑ Upregulated",IF(D72&lt;0.05,"↓ Downregulated","→ Stable"))</f>
        <v>↑ Upregulated</v>
      </c>
      <c r="F72" s="212" t="str">
        <f>IF(D72&gt;0.15,"🟢 Strong",IF(D72&gt;0.08,"🟡 Moderate","🔴 Weak"))</f>
        <v>🟡 Moderate</v>
      </c>
    </row>
    <row r="73" spans="1:10">
      <c r="A73" s="212" t="s">
        <v>2890</v>
      </c>
      <c r="B73" s="212">
        <v>0.6</v>
      </c>
      <c r="C73" s="212">
        <v>0.15</v>
      </c>
      <c r="D73" s="212">
        <f>B73*C73*$B$10</f>
        <v>0.09</v>
      </c>
      <c r="E73" s="212" t="str">
        <f>IF(D73&gt;0.1,"↑ Upregulated",IF(D73&lt;0.05,"↓ Downregulated","→ Stable"))</f>
        <v>→ Stable</v>
      </c>
      <c r="F73" s="212" t="str">
        <f>IF(D73&gt;0.15,"🟢 Strong",IF(D73&gt;0.08,"🟡 Moderate","🔴 Weak"))</f>
        <v>🟡 Moderate</v>
      </c>
    </row>
    <row r="75" spans="1:10">
      <c r="A75" s="1" t="s">
        <v>2891</v>
      </c>
      <c r="B75">
        <f>SUM(D68:D73)</f>
        <v>0.44999999999999996</v>
      </c>
      <c r="C75" t="s">
        <v>2892</v>
      </c>
      <c r="D75" t="str">
        <f>IF(B75&gt;0.4,"🟢 HIGH PLASTICITY",IF(B75&gt;0.2,"🟡 MODERATE","🔴 LOW"))</f>
        <v>🟢 HIGH PLASTICITY</v>
      </c>
    </row>
    <row r="77" spans="1:10" ht="15.75">
      <c r="A77" s="2" t="s">
        <v>2893</v>
      </c>
    </row>
    <row r="78" spans="1:10">
      <c r="A78" s="179" t="s">
        <v>669</v>
      </c>
      <c r="B78" s="179" t="s">
        <v>592</v>
      </c>
      <c r="C78" s="179" t="s">
        <v>1586</v>
      </c>
      <c r="D78" s="179" t="s">
        <v>2894</v>
      </c>
      <c r="E78" s="179" t="s">
        <v>2895</v>
      </c>
    </row>
    <row r="79" spans="1:10">
      <c r="A79" s="207" t="s">
        <v>2896</v>
      </c>
      <c r="B79" s="207">
        <f ca="1">COUNTIF(G44:G53,"*D*")/20</f>
        <v>0.5</v>
      </c>
      <c r="C79" s="207" t="s">
        <v>2897</v>
      </c>
      <c r="D79" s="207" t="str">
        <f ca="1">IF(B79&gt;0.7,"Dominant prevalent",IF(B79&lt;0.3,"Recessive prevalent","Balanced"))</f>
        <v>Balanced</v>
      </c>
      <c r="E79" s="207" t="str">
        <f ca="1">IF(B79&gt;0.5,"↑","↓")</f>
        <v>↓</v>
      </c>
    </row>
    <row r="80" spans="1:10">
      <c r="A80" s="207" t="s">
        <v>2898</v>
      </c>
      <c r="B80" s="207">
        <f ca="1">1-B79</f>
        <v>0.5</v>
      </c>
      <c r="C80" s="207" t="s">
        <v>2899</v>
      </c>
      <c r="D80" s="207" t="str">
        <f ca="1">IF(B80&gt;0.7,"Recessive prevalent",IF(B80&lt;0.3,"Rare","Common"))</f>
        <v>Common</v>
      </c>
      <c r="E80" s="207" t="str">
        <f ca="1">IF(B80&gt;0.5,"↑","↓")</f>
        <v>↓</v>
      </c>
    </row>
    <row r="81" spans="1:6">
      <c r="A81" s="207" t="s">
        <v>2900</v>
      </c>
      <c r="B81" s="207">
        <f ca="1">B79^2</f>
        <v>0.25</v>
      </c>
      <c r="C81" s="207" t="s">
        <v>2901</v>
      </c>
      <c r="D81" s="207" t="s">
        <v>2902</v>
      </c>
      <c r="E81" s="207" t="s">
        <v>2903</v>
      </c>
    </row>
    <row r="82" spans="1:6">
      <c r="A82" s="207" t="s">
        <v>2904</v>
      </c>
      <c r="B82" s="207">
        <f ca="1">2*B79*B80</f>
        <v>0.5</v>
      </c>
      <c r="C82" s="207" t="s">
        <v>2905</v>
      </c>
      <c r="D82" s="207" t="s">
        <v>2906</v>
      </c>
      <c r="E82" s="207" t="s">
        <v>2903</v>
      </c>
    </row>
    <row r="83" spans="1:6">
      <c r="A83" s="207" t="s">
        <v>2907</v>
      </c>
      <c r="B83" s="207">
        <f ca="1">B80^2</f>
        <v>0.25</v>
      </c>
      <c r="C83" s="207" t="s">
        <v>2908</v>
      </c>
      <c r="D83" s="207" t="s">
        <v>2909</v>
      </c>
      <c r="E83" s="207" t="s">
        <v>2903</v>
      </c>
    </row>
    <row r="84" spans="1:6">
      <c r="A84" s="207" t="s">
        <v>2910</v>
      </c>
      <c r="B84" s="207">
        <f>$B$8/$B$7</f>
        <v>1.0000000000000001E-5</v>
      </c>
      <c r="C84" s="207" t="s">
        <v>2911</v>
      </c>
      <c r="D84" s="207" t="str">
        <f>IF(B84&gt;0.0001,"High drift",IF(B84&gt;0.00001,"Moderate","Stable"))</f>
        <v>Stable</v>
      </c>
      <c r="E84" s="207" t="str">
        <f>IF(B84&gt;0.00005,"⚠️","✓")</f>
        <v>✓</v>
      </c>
    </row>
    <row r="85" spans="1:6">
      <c r="A85" s="207" t="s">
        <v>2912</v>
      </c>
      <c r="B85" s="207">
        <f ca="1">COUNTIF(I44:I53,"Heterozygous")/10</f>
        <v>0.2</v>
      </c>
      <c r="C85" s="207" t="s">
        <v>2913</v>
      </c>
      <c r="D85" s="207" t="str">
        <f ca="1">IF(B85&gt;0.5,"High diversity",IF(B85&gt;0.3,"Moderate","Low diversity"))</f>
        <v>Low diversity</v>
      </c>
      <c r="E85" s="207" t="str">
        <f ca="1">IF(B85&gt;0.4,"🟢",IF(B85&gt;0.2,"🟡","🔴"))</f>
        <v>🔴</v>
      </c>
    </row>
    <row r="87" spans="1:6" ht="15.75">
      <c r="A87" s="2" t="s">
        <v>2914</v>
      </c>
      <c r="D87" s="1" t="s">
        <v>1869</v>
      </c>
    </row>
    <row r="88" spans="1:6">
      <c r="A88" s="178" t="s">
        <v>669</v>
      </c>
      <c r="B88" s="178" t="s">
        <v>592</v>
      </c>
      <c r="D88" s="211" t="s">
        <v>2915</v>
      </c>
      <c r="E88" s="211" t="s">
        <v>2916</v>
      </c>
      <c r="F88" s="211" t="s">
        <v>562</v>
      </c>
    </row>
    <row r="89" spans="1:6">
      <c r="A89" s="24" t="s">
        <v>2917</v>
      </c>
      <c r="B89" s="24">
        <f ca="1">COUNTIF(H44:H53,"Dominant Expressed")</f>
        <v>5</v>
      </c>
      <c r="D89" s="213" t="s">
        <v>833</v>
      </c>
      <c r="E89" s="213" t="s">
        <v>48</v>
      </c>
      <c r="F89" s="213" t="s">
        <v>1987</v>
      </c>
    </row>
    <row r="90" spans="1:6">
      <c r="A90" s="24" t="s">
        <v>2918</v>
      </c>
      <c r="B90" s="24">
        <f ca="1">COUNTIF(H44:H53,"Recessive Expressed")</f>
        <v>5</v>
      </c>
      <c r="D90" s="213" t="s">
        <v>2919</v>
      </c>
      <c r="E90" s="213" t="s">
        <v>2613</v>
      </c>
      <c r="F90" s="213" t="s">
        <v>2729</v>
      </c>
    </row>
    <row r="91" spans="1:6">
      <c r="A91" s="24" t="s">
        <v>2920</v>
      </c>
      <c r="B91" s="24">
        <f ca="1">COUNTIF(F44:F53,"⚠️ YES")</f>
        <v>0</v>
      </c>
      <c r="D91" s="213" t="s">
        <v>2754</v>
      </c>
      <c r="E91" s="213" t="s">
        <v>2513</v>
      </c>
      <c r="F91" s="213" t="s">
        <v>2739</v>
      </c>
    </row>
    <row r="92" spans="1:6">
      <c r="A92" s="24" t="s">
        <v>2921</v>
      </c>
      <c r="B92" s="24">
        <f ca="1">COUNTIF(I44:I53,"Homozygous Dominant")</f>
        <v>3</v>
      </c>
      <c r="D92" s="213" t="s">
        <v>839</v>
      </c>
      <c r="E92" s="213" t="s">
        <v>2922</v>
      </c>
      <c r="F92" s="213" t="s">
        <v>1987</v>
      </c>
    </row>
    <row r="93" spans="1:6">
      <c r="A93" s="24" t="s">
        <v>2923</v>
      </c>
      <c r="B93" s="24">
        <f ca="1">COUNTIF(I44:I53,"Homozygous Recessive")</f>
        <v>5</v>
      </c>
      <c r="D93" s="213" t="s">
        <v>2924</v>
      </c>
      <c r="E93" s="213" t="s">
        <v>2925</v>
      </c>
      <c r="F93" s="213" t="s">
        <v>1987</v>
      </c>
    </row>
    <row r="94" spans="1:6">
      <c r="A94" s="24" t="s">
        <v>2926</v>
      </c>
      <c r="B94" s="24">
        <f ca="1">COUNTIF(I44:I53,"Heterozygous")</f>
        <v>2</v>
      </c>
      <c r="D94" s="213" t="s">
        <v>2927</v>
      </c>
      <c r="E94" s="213" t="s">
        <v>2928</v>
      </c>
      <c r="F94" s="213" t="s">
        <v>2739</v>
      </c>
    </row>
    <row r="95" spans="1:6">
      <c r="A95" s="24" t="s">
        <v>2929</v>
      </c>
      <c r="B95" s="24" t="str">
        <f ca="1">ROUND((B94/10)*100,0)&amp;"%"</f>
        <v>20%</v>
      </c>
    </row>
    <row r="97" spans="1:7" ht="15.75">
      <c r="A97" s="2" t="s">
        <v>2930</v>
      </c>
    </row>
    <row r="98" spans="1:7">
      <c r="A98" s="174" t="s">
        <v>2931</v>
      </c>
      <c r="B98" s="174" t="s">
        <v>2828</v>
      </c>
      <c r="C98" s="174" t="s">
        <v>2932</v>
      </c>
      <c r="D98" s="174" t="s">
        <v>2933</v>
      </c>
      <c r="E98" s="174" t="s">
        <v>2934</v>
      </c>
      <c r="F98" s="174" t="s">
        <v>2935</v>
      </c>
      <c r="G98" s="174" t="s">
        <v>2936</v>
      </c>
    </row>
    <row r="99" spans="1:7">
      <c r="A99" s="206" t="s">
        <v>2937</v>
      </c>
      <c r="B99" s="206">
        <f>$B$7*(1+0.02*1)</f>
        <v>102</v>
      </c>
      <c r="C99" s="206">
        <f ca="1">B85*(1-0.02*1)+RAND()*0.1</f>
        <v>0.26302521311605342</v>
      </c>
      <c r="D99" s="206">
        <f>ROUND($B$8*B99*10,2)</f>
        <v>1.02</v>
      </c>
      <c r="E99" s="206">
        <f ca="1">B79*(1-0.01*1)+RAND()*0.05</f>
        <v>0.53945038250849986</v>
      </c>
      <c r="F99" s="206">
        <f ca="1">1-E99</f>
        <v>0.46054961749150014</v>
      </c>
      <c r="G99" s="206" t="str">
        <f ca="1">ROUND((C99*0.3+E99*0.4+0.3)*100,0)&amp;"%"</f>
        <v>59%</v>
      </c>
    </row>
    <row r="100" spans="1:7">
      <c r="A100" s="206" t="s">
        <v>2938</v>
      </c>
      <c r="B100" s="206">
        <f>$B$7*(1+0.02*2)</f>
        <v>104</v>
      </c>
      <c r="C100" s="206">
        <f ca="1">B85*(1-0.02*2)+RAND()*0.1</f>
        <v>0.25811027452604773</v>
      </c>
      <c r="D100" s="206">
        <f>ROUND($B$8*B100*10,2)</f>
        <v>1.04</v>
      </c>
      <c r="E100" s="206">
        <f ca="1">B79*(1-0.01*2)+RAND()*0.05</f>
        <v>0.49125869046140463</v>
      </c>
      <c r="F100" s="206">
        <f ca="1">1-E100</f>
        <v>0.50874130953859531</v>
      </c>
      <c r="G100" s="206" t="str">
        <f ca="1">ROUND((C100*0.3+E100*0.4+0.3)*100,0)&amp;"%"</f>
        <v>57%</v>
      </c>
    </row>
    <row r="101" spans="1:7">
      <c r="A101" s="206" t="s">
        <v>2939</v>
      </c>
      <c r="B101" s="206">
        <f>$B$7*(1+0.02*3)</f>
        <v>106</v>
      </c>
      <c r="C101" s="206">
        <f ca="1">B85*(1-0.02*3)+RAND()*0.1</f>
        <v>0.20419642527819221</v>
      </c>
      <c r="D101" s="206">
        <f>ROUND($B$8*B101*10,2)</f>
        <v>1.06</v>
      </c>
      <c r="E101" s="206">
        <f ca="1">B79*(1-0.01*3)+RAND()*0.05</f>
        <v>0.50399392628677675</v>
      </c>
      <c r="F101" s="206">
        <f ca="1">1-E101</f>
        <v>0.49600607371322325</v>
      </c>
      <c r="G101" s="206" t="str">
        <f ca="1">ROUND((C101*0.3+E101*0.4+0.3)*100,0)&amp;"%"</f>
        <v>56%</v>
      </c>
    </row>
    <row r="102" spans="1:7">
      <c r="A102" s="206" t="s">
        <v>2940</v>
      </c>
      <c r="B102" s="206">
        <f>$B$7*(1+0.02*4)</f>
        <v>108</v>
      </c>
      <c r="C102" s="206">
        <f ca="1">B85*(1-0.02*4)+RAND()*0.1</f>
        <v>0.18611066797059575</v>
      </c>
      <c r="D102" s="206">
        <f>ROUND($B$8*B102*10,2)</f>
        <v>1.08</v>
      </c>
      <c r="E102" s="206">
        <f ca="1">B79*(1-0.01*4)+RAND()*0.05</f>
        <v>0.51388328276316264</v>
      </c>
      <c r="F102" s="206">
        <f ca="1">1-E102</f>
        <v>0.48611671723683736</v>
      </c>
      <c r="G102" s="206" t="str">
        <f ca="1">ROUND((C102*0.3+E102*0.4+0.3)*100,0)&amp;"%"</f>
        <v>56%</v>
      </c>
    </row>
    <row r="103" spans="1:7">
      <c r="A103" s="206" t="s">
        <v>2941</v>
      </c>
      <c r="B103" s="206">
        <f>$B$7*(1+0.02*5)</f>
        <v>110.00000000000001</v>
      </c>
      <c r="C103" s="206">
        <f ca="1">B85*(1-0.02*5)+RAND()*0.1</f>
        <v>0.19297932572153567</v>
      </c>
      <c r="D103" s="206">
        <f>ROUND($B$8*B103*10,2)</f>
        <v>1.1000000000000001</v>
      </c>
      <c r="E103" s="206">
        <f ca="1">B79*(1-0.01*5)+RAND()*0.05</f>
        <v>0.49691753836349212</v>
      </c>
      <c r="F103" s="206">
        <f ca="1">1-E103</f>
        <v>0.50308246163650794</v>
      </c>
      <c r="G103" s="206" t="str">
        <f ca="1">ROUND((C103*0.3+E103*0.4+0.3)*100,0)&amp;"%"</f>
        <v>56%</v>
      </c>
    </row>
    <row r="105" spans="1:7" ht="15.75">
      <c r="A105" s="2" t="s">
        <v>2942</v>
      </c>
    </row>
    <row r="106" spans="1:7">
      <c r="B106" t="s">
        <v>2943</v>
      </c>
    </row>
    <row r="107" spans="1:7">
      <c r="B107" s="174" t="str">
        <f ca="1">I31</f>
        <v>d</v>
      </c>
      <c r="C107" s="174" t="str">
        <f ca="1">J31</f>
        <v>d</v>
      </c>
    </row>
    <row r="108" spans="1:7">
      <c r="A108" t="s">
        <v>2944</v>
      </c>
    </row>
    <row r="109" spans="1:7">
      <c r="A109" s="214" t="str">
        <f ca="1">B31</f>
        <v>d</v>
      </c>
      <c r="B109" s="215" t="str">
        <f ca="1">A109&amp;B107</f>
        <v>dd</v>
      </c>
      <c r="C109" s="215" t="str">
        <f ca="1">A109&amp;C107</f>
        <v>dd</v>
      </c>
    </row>
    <row r="110" spans="1:7">
      <c r="A110" s="214" t="str">
        <f ca="1">C31</f>
        <v>D</v>
      </c>
      <c r="B110" s="215" t="str">
        <f ca="1">A110&amp;B107</f>
        <v>Dd</v>
      </c>
      <c r="C110" s="215" t="str">
        <f ca="1">A110&amp;C107</f>
        <v>Dd</v>
      </c>
    </row>
    <row r="112" spans="1:7">
      <c r="A112" t="s">
        <v>2945</v>
      </c>
      <c r="B112" t="str">
        <f ca="1">"DD: "&amp;ROUND(COUNTIF(B109:C110,"DD")/4*100,0)&amp;"%"</f>
        <v>DD: 100%</v>
      </c>
      <c r="C112" t="str">
        <f ca="1">"Dd: "&amp;ROUND((COUNTIF(B109:C110,"Dd")+COUNTIF(B109:C110,"dD"))/4*100,0)&amp;"%"</f>
        <v>Dd: 200%</v>
      </c>
      <c r="D112" t="str">
        <f ca="1">"dd: "&amp;ROUND(COUNTIF(B109:C110,"dd")/4*100,0)&amp;"%"</f>
        <v>dd: 100%</v>
      </c>
    </row>
  </sheetData>
  <mergeCells count="3">
    <mergeCell ref="A1:N1"/>
    <mergeCell ref="A29:F29"/>
    <mergeCell ref="H29:M2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6DC2-B407-47AA-A5CF-852AE5E72EEC}">
  <dimension ref="A1:M55"/>
  <sheetViews>
    <sheetView workbookViewId="0">
      <selection sqref="A1:N1"/>
    </sheetView>
  </sheetViews>
  <sheetFormatPr defaultRowHeight="15"/>
  <cols>
    <col min="1" max="1" width="19" customWidth="1"/>
    <col min="2" max="2" width="17.140625" customWidth="1"/>
    <col min="3" max="4" width="15.28515625" customWidth="1"/>
    <col min="5" max="7" width="14.28515625" customWidth="1"/>
    <col min="8" max="8" width="13.28515625" customWidth="1"/>
    <col min="9" max="13" width="19" customWidth="1"/>
  </cols>
  <sheetData>
    <row r="1" spans="1:13" ht="21">
      <c r="A1" s="231" t="s">
        <v>2946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</row>
    <row r="3" spans="1:13">
      <c r="A3" s="232" t="s">
        <v>41</v>
      </c>
      <c r="B3" s="232" t="s">
        <v>42</v>
      </c>
      <c r="C3" s="232" t="s">
        <v>1150</v>
      </c>
      <c r="D3" s="232" t="s">
        <v>50</v>
      </c>
      <c r="E3" s="232" t="s">
        <v>2947</v>
      </c>
      <c r="F3" s="232" t="s">
        <v>2948</v>
      </c>
      <c r="G3" s="232" t="s">
        <v>2949</v>
      </c>
      <c r="H3" s="232" t="s">
        <v>2950</v>
      </c>
      <c r="I3" s="232" t="s">
        <v>2951</v>
      </c>
      <c r="J3" s="232" t="s">
        <v>2952</v>
      </c>
      <c r="K3" s="232" t="s">
        <v>2124</v>
      </c>
      <c r="L3" s="232" t="s">
        <v>2953</v>
      </c>
      <c r="M3" s="232" t="s">
        <v>504</v>
      </c>
    </row>
    <row r="4" spans="1:13">
      <c r="A4" s="233" t="s">
        <v>2954</v>
      </c>
      <c r="B4" s="233" t="s">
        <v>2955</v>
      </c>
      <c r="C4" s="233" t="s">
        <v>2155</v>
      </c>
      <c r="D4" s="233" t="s">
        <v>2129</v>
      </c>
      <c r="E4" s="233">
        <v>0</v>
      </c>
      <c r="F4" s="233">
        <v>0</v>
      </c>
      <c r="G4" s="233">
        <v>0</v>
      </c>
      <c r="H4" s="233" t="b">
        <v>1</v>
      </c>
      <c r="I4" s="233" t="s">
        <v>2127</v>
      </c>
      <c r="J4" s="233" t="s">
        <v>2127</v>
      </c>
      <c r="K4" s="233" t="s">
        <v>2956</v>
      </c>
      <c r="L4" s="233" t="s">
        <v>2159</v>
      </c>
      <c r="M4" s="233" t="s">
        <v>2957</v>
      </c>
    </row>
    <row r="5" spans="1:13">
      <c r="A5" s="233" t="s">
        <v>2958</v>
      </c>
      <c r="B5" s="233" t="s">
        <v>2955</v>
      </c>
      <c r="C5" s="233" t="s">
        <v>2959</v>
      </c>
      <c r="D5" s="233" t="s">
        <v>2954</v>
      </c>
      <c r="E5" s="233">
        <v>0</v>
      </c>
      <c r="F5" s="233">
        <v>0</v>
      </c>
      <c r="G5" s="233">
        <v>0.01</v>
      </c>
      <c r="H5" s="233" t="b">
        <v>1</v>
      </c>
      <c r="I5" s="233" t="s">
        <v>2960</v>
      </c>
      <c r="J5" s="233" t="s">
        <v>2961</v>
      </c>
      <c r="K5" s="233" t="s">
        <v>2962</v>
      </c>
      <c r="L5" s="233" t="s">
        <v>2150</v>
      </c>
      <c r="M5" s="233" t="s">
        <v>2963</v>
      </c>
    </row>
    <row r="6" spans="1:13">
      <c r="A6" s="233" t="s">
        <v>2964</v>
      </c>
      <c r="B6" s="233" t="s">
        <v>2955</v>
      </c>
      <c r="C6" s="233" t="s">
        <v>2959</v>
      </c>
      <c r="D6" s="233" t="s">
        <v>2954</v>
      </c>
      <c r="E6" s="233">
        <v>5</v>
      </c>
      <c r="F6" s="233">
        <v>3</v>
      </c>
      <c r="G6" s="233">
        <v>0</v>
      </c>
      <c r="H6" s="233" t="b">
        <v>1</v>
      </c>
      <c r="I6" s="233" t="s">
        <v>2960</v>
      </c>
      <c r="J6" s="233" t="s">
        <v>2127</v>
      </c>
      <c r="K6" s="233" t="s">
        <v>2965</v>
      </c>
      <c r="L6" s="233" t="s">
        <v>2150</v>
      </c>
      <c r="M6" s="233" t="s">
        <v>2966</v>
      </c>
    </row>
    <row r="7" spans="1:13">
      <c r="A7" s="233" t="s">
        <v>2151</v>
      </c>
      <c r="B7" s="233" t="s">
        <v>2955</v>
      </c>
      <c r="C7" s="233" t="s">
        <v>2967</v>
      </c>
      <c r="D7" s="233" t="s">
        <v>2954</v>
      </c>
      <c r="E7" s="233">
        <v>-2</v>
      </c>
      <c r="F7" s="233">
        <v>4</v>
      </c>
      <c r="G7" s="233">
        <v>0</v>
      </c>
      <c r="H7" s="233" t="b">
        <v>1</v>
      </c>
      <c r="I7" s="233" t="s">
        <v>2127</v>
      </c>
      <c r="J7" s="233" t="s">
        <v>2127</v>
      </c>
      <c r="K7" s="233" t="s">
        <v>2968</v>
      </c>
      <c r="L7" s="233" t="s">
        <v>2159</v>
      </c>
      <c r="M7" s="233" t="s">
        <v>2969</v>
      </c>
    </row>
    <row r="8" spans="1:13">
      <c r="A8" s="234" t="s">
        <v>2970</v>
      </c>
      <c r="B8" s="234" t="s">
        <v>2971</v>
      </c>
      <c r="C8" s="234" t="s">
        <v>2972</v>
      </c>
      <c r="D8" s="234" t="s">
        <v>2954</v>
      </c>
      <c r="E8" s="234">
        <v>3</v>
      </c>
      <c r="F8" s="234">
        <v>2</v>
      </c>
      <c r="G8" s="234">
        <v>0.5</v>
      </c>
      <c r="H8" s="234" t="b">
        <v>1</v>
      </c>
      <c r="I8" s="234" t="s">
        <v>2960</v>
      </c>
      <c r="J8" s="234" t="s">
        <v>2127</v>
      </c>
      <c r="K8" s="234" t="s">
        <v>2973</v>
      </c>
      <c r="L8" s="234" t="s">
        <v>2974</v>
      </c>
      <c r="M8" s="234" t="s">
        <v>2975</v>
      </c>
    </row>
    <row r="9" spans="1:13">
      <c r="A9" s="234" t="s">
        <v>2976</v>
      </c>
      <c r="B9" s="234" t="s">
        <v>2971</v>
      </c>
      <c r="C9" s="234" t="s">
        <v>2977</v>
      </c>
      <c r="D9" s="234" t="s">
        <v>2954</v>
      </c>
      <c r="E9" s="234">
        <v>0</v>
      </c>
      <c r="F9" s="234">
        <v>0</v>
      </c>
      <c r="G9" s="234">
        <v>0.9</v>
      </c>
      <c r="H9" s="234" t="b">
        <v>1</v>
      </c>
      <c r="I9" s="234" t="s">
        <v>2960</v>
      </c>
      <c r="J9" s="234" t="s">
        <v>2127</v>
      </c>
      <c r="K9" s="234" t="s">
        <v>2978</v>
      </c>
      <c r="L9" s="234" t="s">
        <v>2974</v>
      </c>
      <c r="M9" s="234" t="s">
        <v>2979</v>
      </c>
    </row>
    <row r="10" spans="1:13">
      <c r="A10" s="235" t="s">
        <v>2980</v>
      </c>
      <c r="B10" s="235" t="s">
        <v>2981</v>
      </c>
      <c r="C10" s="235" t="s">
        <v>2982</v>
      </c>
      <c r="D10" s="235" t="s">
        <v>2954</v>
      </c>
      <c r="E10" s="235">
        <v>10</v>
      </c>
      <c r="F10" s="235">
        <v>10</v>
      </c>
      <c r="G10" s="235">
        <v>0</v>
      </c>
      <c r="H10" s="235" t="b">
        <v>1</v>
      </c>
      <c r="I10" s="235" t="s">
        <v>2127</v>
      </c>
      <c r="J10" s="235" t="s">
        <v>2127</v>
      </c>
      <c r="K10" s="235" t="s">
        <v>2983</v>
      </c>
      <c r="L10" s="235" t="s">
        <v>2159</v>
      </c>
      <c r="M10" s="235" t="s">
        <v>2984</v>
      </c>
    </row>
    <row r="11" spans="1:13">
      <c r="A11" s="235" t="s">
        <v>2985</v>
      </c>
      <c r="B11" s="235" t="s">
        <v>2981</v>
      </c>
      <c r="C11" s="235" t="s">
        <v>2986</v>
      </c>
      <c r="D11" s="235" t="s">
        <v>2980</v>
      </c>
      <c r="E11" s="235">
        <v>10</v>
      </c>
      <c r="F11" s="235">
        <v>12</v>
      </c>
      <c r="G11" s="235">
        <v>0</v>
      </c>
      <c r="H11" s="235" t="b">
        <v>1</v>
      </c>
      <c r="I11" s="235" t="s">
        <v>2127</v>
      </c>
      <c r="J11" s="235" t="s">
        <v>2127</v>
      </c>
      <c r="K11" s="235" t="s">
        <v>2987</v>
      </c>
      <c r="L11" s="235" t="s">
        <v>2159</v>
      </c>
      <c r="M11" s="235" t="s">
        <v>2988</v>
      </c>
    </row>
    <row r="12" spans="1:13">
      <c r="A12" s="235" t="s">
        <v>2989</v>
      </c>
      <c r="B12" s="235" t="s">
        <v>2981</v>
      </c>
      <c r="C12" s="235" t="s">
        <v>2986</v>
      </c>
      <c r="D12" s="235" t="s">
        <v>2980</v>
      </c>
      <c r="E12" s="235">
        <v>10</v>
      </c>
      <c r="F12" s="235">
        <v>10</v>
      </c>
      <c r="G12" s="235">
        <v>0</v>
      </c>
      <c r="H12" s="235" t="b">
        <v>1</v>
      </c>
      <c r="I12" s="235" t="s">
        <v>2127</v>
      </c>
      <c r="J12" s="235" t="s">
        <v>2127</v>
      </c>
      <c r="K12" s="235" t="s">
        <v>2983</v>
      </c>
      <c r="L12" s="235" t="s">
        <v>2159</v>
      </c>
      <c r="M12" s="235" t="s">
        <v>2990</v>
      </c>
    </row>
    <row r="13" spans="1:13">
      <c r="A13" s="235" t="s">
        <v>2991</v>
      </c>
      <c r="B13" s="235" t="s">
        <v>2981</v>
      </c>
      <c r="C13" s="235" t="s">
        <v>2986</v>
      </c>
      <c r="D13" s="235" t="s">
        <v>2980</v>
      </c>
      <c r="E13" s="235">
        <v>10</v>
      </c>
      <c r="F13" s="235">
        <v>10</v>
      </c>
      <c r="G13" s="235">
        <v>0</v>
      </c>
      <c r="H13" s="235" t="b">
        <v>1</v>
      </c>
      <c r="I13" s="235" t="s">
        <v>2127</v>
      </c>
      <c r="J13" s="235" t="s">
        <v>2127</v>
      </c>
      <c r="K13" s="235" t="s">
        <v>2983</v>
      </c>
      <c r="L13" s="235" t="s">
        <v>2159</v>
      </c>
      <c r="M13" s="235" t="s">
        <v>2992</v>
      </c>
    </row>
    <row r="14" spans="1:13">
      <c r="A14" s="225" t="s">
        <v>2993</v>
      </c>
      <c r="B14" s="225" t="s">
        <v>2955</v>
      </c>
      <c r="C14" s="225" t="s">
        <v>2168</v>
      </c>
      <c r="D14" s="225" t="s">
        <v>2129</v>
      </c>
      <c r="E14" s="225">
        <v>0</v>
      </c>
      <c r="F14" s="225">
        <v>0</v>
      </c>
      <c r="G14" s="225">
        <v>100</v>
      </c>
      <c r="H14" s="225" t="b">
        <v>0</v>
      </c>
      <c r="I14" s="225" t="s">
        <v>2127</v>
      </c>
      <c r="J14" s="225" t="s">
        <v>2127</v>
      </c>
      <c r="K14" s="225" t="s">
        <v>2994</v>
      </c>
      <c r="L14" s="225" t="s">
        <v>2170</v>
      </c>
      <c r="M14" s="225" t="s">
        <v>2995</v>
      </c>
    </row>
    <row r="15" spans="1:13">
      <c r="A15" s="236" t="s">
        <v>2996</v>
      </c>
      <c r="B15" s="236" t="s">
        <v>2997</v>
      </c>
      <c r="C15" s="236" t="s">
        <v>2998</v>
      </c>
      <c r="D15" s="236" t="s">
        <v>2954</v>
      </c>
      <c r="E15" s="236">
        <v>15</v>
      </c>
      <c r="F15" s="236">
        <v>5</v>
      </c>
      <c r="G15" s="236">
        <v>0.5</v>
      </c>
      <c r="H15" s="236" t="b">
        <v>1</v>
      </c>
      <c r="I15" s="236" t="s">
        <v>2960</v>
      </c>
      <c r="J15" s="236" t="s">
        <v>2127</v>
      </c>
      <c r="K15" s="236" t="s">
        <v>2999</v>
      </c>
      <c r="L15" s="236" t="s">
        <v>2974</v>
      </c>
      <c r="M15" s="236" t="s">
        <v>3000</v>
      </c>
    </row>
    <row r="16" spans="1:13">
      <c r="A16" s="237" t="s">
        <v>2164</v>
      </c>
      <c r="B16" s="237" t="s">
        <v>2955</v>
      </c>
      <c r="C16" s="237" t="s">
        <v>785</v>
      </c>
      <c r="D16" s="237" t="s">
        <v>2162</v>
      </c>
      <c r="E16" s="237">
        <v>0</v>
      </c>
      <c r="F16" s="237">
        <v>-50</v>
      </c>
      <c r="G16" s="237">
        <v>-5</v>
      </c>
      <c r="H16" s="237" t="b">
        <v>1</v>
      </c>
      <c r="I16" s="237" t="s">
        <v>2960</v>
      </c>
      <c r="J16" s="237" t="s">
        <v>2127</v>
      </c>
      <c r="K16" s="237" t="s">
        <v>2164</v>
      </c>
      <c r="L16" s="237" t="s">
        <v>2163</v>
      </c>
      <c r="M16" s="237" t="s">
        <v>3001</v>
      </c>
    </row>
    <row r="19" spans="1:13" ht="18.75">
      <c r="A19" s="367" t="s">
        <v>3002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</row>
    <row r="21" spans="1:13">
      <c r="A21" s="238" t="s">
        <v>3003</v>
      </c>
      <c r="B21" s="238" t="s">
        <v>3004</v>
      </c>
      <c r="C21" s="238" t="s">
        <v>2216</v>
      </c>
      <c r="D21" s="238" t="s">
        <v>3005</v>
      </c>
      <c r="E21" s="238" t="s">
        <v>3006</v>
      </c>
      <c r="G21" s="354" t="s">
        <v>3007</v>
      </c>
      <c r="H21" s="321"/>
      <c r="I21" s="321"/>
      <c r="J21" s="321"/>
      <c r="K21" s="321"/>
    </row>
    <row r="22" spans="1:13">
      <c r="A22" s="239" t="s">
        <v>3008</v>
      </c>
      <c r="B22" s="239" t="s">
        <v>3009</v>
      </c>
      <c r="C22" s="239" t="s">
        <v>3010</v>
      </c>
      <c r="D22" s="239" t="s">
        <v>3011</v>
      </c>
      <c r="E22" s="239" t="s">
        <v>3012</v>
      </c>
      <c r="G22" s="200" t="s">
        <v>597</v>
      </c>
      <c r="H22" s="200" t="s">
        <v>598</v>
      </c>
      <c r="I22" s="200" t="s">
        <v>2090</v>
      </c>
      <c r="J22" s="200" t="s">
        <v>593</v>
      </c>
    </row>
    <row r="23" spans="1:13">
      <c r="A23" s="239" t="s">
        <v>2951</v>
      </c>
      <c r="B23" s="239" t="s">
        <v>3013</v>
      </c>
      <c r="C23" s="239" t="s">
        <v>3014</v>
      </c>
      <c r="D23" s="239" t="s">
        <v>3015</v>
      </c>
      <c r="E23" s="239" t="s">
        <v>3016</v>
      </c>
      <c r="G23" s="131" t="s">
        <v>2094</v>
      </c>
      <c r="H23" s="131" t="s">
        <v>3017</v>
      </c>
      <c r="I23" s="131" t="e" cm="1">
        <f t="array" aca="1" ref="I23" ca="1">-∞ to +∞</f>
        <v>#NAME?</v>
      </c>
      <c r="J23" s="131" t="s">
        <v>2105</v>
      </c>
    </row>
    <row r="24" spans="1:13">
      <c r="A24" s="239" t="s">
        <v>2952</v>
      </c>
      <c r="B24" s="239" t="s">
        <v>3018</v>
      </c>
      <c r="C24" s="239" t="s">
        <v>3019</v>
      </c>
      <c r="D24" s="239" t="s">
        <v>3020</v>
      </c>
      <c r="E24" s="239" t="s">
        <v>3021</v>
      </c>
      <c r="G24" s="131" t="s">
        <v>2100</v>
      </c>
      <c r="H24" s="131" t="s">
        <v>3022</v>
      </c>
      <c r="I24" s="131" t="e" cm="1">
        <f t="array" aca="1" ref="I24" ca="1">-∞ to +∞</f>
        <v>#NAME?</v>
      </c>
      <c r="J24" s="131" t="s">
        <v>2105</v>
      </c>
    </row>
    <row r="25" spans="1:13">
      <c r="A25" s="239" t="s">
        <v>3023</v>
      </c>
      <c r="B25" s="239" t="s">
        <v>3024</v>
      </c>
      <c r="C25" s="239" t="s">
        <v>3025</v>
      </c>
      <c r="D25" s="239" t="s">
        <v>3026</v>
      </c>
      <c r="E25" s="239" t="s">
        <v>3027</v>
      </c>
      <c r="G25" s="131" t="s">
        <v>2107</v>
      </c>
      <c r="H25" s="131" t="s">
        <v>3028</v>
      </c>
      <c r="I25" s="131" t="e" cm="1">
        <f t="array" aca="1" ref="I25" ca="1">-∞ to +∞</f>
        <v>#NAME?</v>
      </c>
      <c r="J25" s="131" t="s">
        <v>2105</v>
      </c>
    </row>
    <row r="26" spans="1:13">
      <c r="A26" s="239" t="s">
        <v>3029</v>
      </c>
      <c r="B26" s="239" t="s">
        <v>3030</v>
      </c>
      <c r="C26" s="239" t="s">
        <v>3031</v>
      </c>
      <c r="D26" s="239" t="s">
        <v>3032</v>
      </c>
      <c r="E26" s="239" t="s">
        <v>3033</v>
      </c>
      <c r="G26" s="131" t="s">
        <v>2122</v>
      </c>
      <c r="H26" s="131" t="s">
        <v>3034</v>
      </c>
      <c r="I26" s="131" t="s">
        <v>66</v>
      </c>
      <c r="J26" s="131" t="s">
        <v>3035</v>
      </c>
    </row>
    <row r="29" spans="1:13" ht="18.75">
      <c r="A29" s="368" t="s">
        <v>3036</v>
      </c>
      <c r="B29" s="321"/>
      <c r="C29" s="321"/>
      <c r="D29" s="321"/>
      <c r="E29" s="321"/>
      <c r="F29" s="321"/>
      <c r="G29" s="321"/>
      <c r="H29" s="321"/>
      <c r="I29" s="321"/>
      <c r="J29" s="321"/>
      <c r="K29" s="321"/>
      <c r="L29" s="321"/>
      <c r="M29" s="321"/>
    </row>
    <row r="31" spans="1:13">
      <c r="A31" s="201" t="s">
        <v>3037</v>
      </c>
      <c r="B31" s="201"/>
      <c r="C31" s="201"/>
      <c r="D31" s="201"/>
      <c r="F31" s="201" t="s">
        <v>3038</v>
      </c>
      <c r="G31" s="201"/>
      <c r="H31" s="201"/>
    </row>
    <row r="32" spans="1:13">
      <c r="A32" t="s">
        <v>3039</v>
      </c>
      <c r="B32">
        <f>COUNTA(A4:A16)</f>
        <v>13</v>
      </c>
      <c r="F32" t="s">
        <v>3040</v>
      </c>
      <c r="G32">
        <f>COUNTIF(B4:B16,"Environment")</f>
        <v>6</v>
      </c>
    </row>
    <row r="33" spans="1:13">
      <c r="A33" t="s">
        <v>3041</v>
      </c>
      <c r="B33">
        <f>COUNTIF(H4:H16,TRUE)</f>
        <v>12</v>
      </c>
      <c r="F33" t="s">
        <v>3042</v>
      </c>
      <c r="G33">
        <f>COUNTIF(B4:B16,"Organism")</f>
        <v>2</v>
      </c>
    </row>
    <row r="34" spans="1:13">
      <c r="A34" t="s">
        <v>3043</v>
      </c>
      <c r="B34">
        <f>COUNTIF(H4:H16,FALSE)</f>
        <v>1</v>
      </c>
      <c r="F34" t="s">
        <v>3044</v>
      </c>
      <c r="G34">
        <f>COUNTIF(B4:B16,"Structure")</f>
        <v>4</v>
      </c>
    </row>
    <row r="35" spans="1:13">
      <c r="A35" t="s">
        <v>3045</v>
      </c>
      <c r="B35">
        <f>COUNTIF(L4:L16,"Dynamic Mass")</f>
        <v>3</v>
      </c>
      <c r="F35" t="s">
        <v>3046</v>
      </c>
      <c r="G35">
        <f>COUNTIF(B4:B16,"Object")</f>
        <v>1</v>
      </c>
    </row>
    <row r="36" spans="1:13">
      <c r="A36" t="s">
        <v>3047</v>
      </c>
      <c r="B36">
        <f>B32-B35</f>
        <v>10</v>
      </c>
    </row>
    <row r="37" spans="1:13">
      <c r="F37" s="241" t="s">
        <v>3048</v>
      </c>
      <c r="G37" s="241"/>
      <c r="H37" s="241"/>
    </row>
    <row r="38" spans="1:13">
      <c r="A38" s="240" t="s">
        <v>3049</v>
      </c>
      <c r="B38" s="240"/>
      <c r="C38" s="240"/>
      <c r="D38" s="240"/>
      <c r="F38" t="s">
        <v>3050</v>
      </c>
      <c r="G38">
        <f>E9</f>
        <v>0</v>
      </c>
    </row>
    <row r="39" spans="1:13">
      <c r="A39" t="s">
        <v>3051</v>
      </c>
      <c r="B39">
        <f>MIN(E4:E16)</f>
        <v>-2</v>
      </c>
      <c r="F39" t="s">
        <v>3052</v>
      </c>
      <c r="G39">
        <f>F9</f>
        <v>0</v>
      </c>
    </row>
    <row r="40" spans="1:13">
      <c r="A40" t="s">
        <v>3053</v>
      </c>
      <c r="B40">
        <f>MAX(E4:E16)</f>
        <v>15</v>
      </c>
      <c r="F40" t="s">
        <v>3054</v>
      </c>
      <c r="G40">
        <f>G9</f>
        <v>0.9</v>
      </c>
    </row>
    <row r="41" spans="1:13">
      <c r="A41" t="s">
        <v>3055</v>
      </c>
      <c r="B41">
        <f>MIN(F4:F16)</f>
        <v>-50</v>
      </c>
      <c r="F41" t="s">
        <v>3056</v>
      </c>
      <c r="G41" t="str">
        <f>IF(G9&gt;10,"Sky",IF(G9&gt;0,"Ground","Underground"))</f>
        <v>Ground</v>
      </c>
    </row>
    <row r="42" spans="1:13">
      <c r="A42" t="s">
        <v>3057</v>
      </c>
      <c r="B42">
        <f>MAX(F4:F16)</f>
        <v>12</v>
      </c>
      <c r="F42" t="s">
        <v>3058</v>
      </c>
      <c r="H42" t="s">
        <v>3059</v>
      </c>
    </row>
    <row r="43" spans="1:13">
      <c r="A43" t="s">
        <v>3060</v>
      </c>
      <c r="B43">
        <f>MIN(G4:G16)</f>
        <v>-5</v>
      </c>
    </row>
    <row r="44" spans="1:13">
      <c r="A44" t="s">
        <v>3061</v>
      </c>
      <c r="B44">
        <f>MAX(G4:G16)</f>
        <v>100</v>
      </c>
    </row>
    <row r="47" spans="1:13" ht="15.75">
      <c r="A47" s="369" t="s">
        <v>3062</v>
      </c>
      <c r="B47" s="321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</row>
    <row r="49" spans="1:13">
      <c r="A49" s="145" t="s">
        <v>955</v>
      </c>
      <c r="B49" s="145" t="s">
        <v>2721</v>
      </c>
      <c r="C49" s="145" t="s">
        <v>598</v>
      </c>
      <c r="D49" s="145" t="s">
        <v>562</v>
      </c>
      <c r="E49" s="145"/>
      <c r="F49" s="145" t="s">
        <v>3063</v>
      </c>
      <c r="G49" s="145" t="s">
        <v>1154</v>
      </c>
      <c r="I49" s="370" t="s">
        <v>3064</v>
      </c>
      <c r="J49" s="321"/>
      <c r="K49" s="321"/>
      <c r="L49" s="321"/>
      <c r="M49" s="321"/>
    </row>
    <row r="50" spans="1:13">
      <c r="A50" t="s">
        <v>2754</v>
      </c>
      <c r="B50" t="s">
        <v>3065</v>
      </c>
      <c r="C50" t="s">
        <v>3066</v>
      </c>
      <c r="D50" t="s">
        <v>1521</v>
      </c>
      <c r="F50" t="s">
        <v>3067</v>
      </c>
      <c r="G50" t="s">
        <v>3068</v>
      </c>
      <c r="I50" s="240" t="s">
        <v>669</v>
      </c>
      <c r="J50" s="240" t="s">
        <v>1146</v>
      </c>
    </row>
    <row r="51" spans="1:13">
      <c r="A51" t="s">
        <v>2927</v>
      </c>
      <c r="B51" t="s">
        <v>2376</v>
      </c>
      <c r="C51" t="s">
        <v>3066</v>
      </c>
      <c r="D51" t="s">
        <v>1521</v>
      </c>
      <c r="F51" t="s">
        <v>3069</v>
      </c>
      <c r="G51" t="s">
        <v>3070</v>
      </c>
      <c r="I51" t="s">
        <v>3071</v>
      </c>
      <c r="J51">
        <f>COUNTA(A4:A16)</f>
        <v>13</v>
      </c>
    </row>
    <row r="52" spans="1:13">
      <c r="A52" t="s">
        <v>3072</v>
      </c>
      <c r="B52" t="s">
        <v>3073</v>
      </c>
      <c r="C52" t="s">
        <v>3074</v>
      </c>
      <c r="D52" t="s">
        <v>1521</v>
      </c>
      <c r="F52" t="s">
        <v>3075</v>
      </c>
      <c r="G52" t="s">
        <v>3076</v>
      </c>
      <c r="I52" t="s">
        <v>3077</v>
      </c>
      <c r="J52">
        <f>COUNTIF(B4:B16,"Environment")</f>
        <v>6</v>
      </c>
    </row>
    <row r="53" spans="1:13">
      <c r="A53" t="s">
        <v>3078</v>
      </c>
      <c r="B53" t="s">
        <v>3079</v>
      </c>
      <c r="C53" t="s">
        <v>3080</v>
      </c>
      <c r="D53" t="s">
        <v>1521</v>
      </c>
      <c r="F53" t="s">
        <v>3081</v>
      </c>
      <c r="G53" t="s">
        <v>3082</v>
      </c>
      <c r="I53" t="s">
        <v>3083</v>
      </c>
      <c r="J53">
        <f>COUNTIF(B4:B16,"Organism")</f>
        <v>2</v>
      </c>
    </row>
    <row r="54" spans="1:13">
      <c r="A54" t="s">
        <v>833</v>
      </c>
      <c r="B54" t="s">
        <v>1742</v>
      </c>
      <c r="C54" t="s">
        <v>3066</v>
      </c>
      <c r="D54" t="s">
        <v>1521</v>
      </c>
      <c r="F54" t="s">
        <v>1155</v>
      </c>
      <c r="G54" t="s">
        <v>1157</v>
      </c>
      <c r="I54" t="s">
        <v>3084</v>
      </c>
      <c r="J54">
        <f>COUNTIF(B4:B16,"Structure")+COUNTIF(B4:B16,"Object")</f>
        <v>5</v>
      </c>
    </row>
    <row r="55" spans="1:13">
      <c r="A55" t="s">
        <v>839</v>
      </c>
      <c r="B55" t="s">
        <v>3085</v>
      </c>
      <c r="C55" t="s">
        <v>3074</v>
      </c>
      <c r="D55" t="s">
        <v>1521</v>
      </c>
      <c r="F55" t="s">
        <v>3086</v>
      </c>
      <c r="G55" t="s">
        <v>3087</v>
      </c>
      <c r="I55" t="s">
        <v>3088</v>
      </c>
      <c r="J55" t="str">
        <f>IF(J51&gt;10,"🟢 POPULATED",IF(J51&gt;5,"🟡 SPARSE","🔴 EMPTY"))</f>
        <v>🟢 POPULATED</v>
      </c>
    </row>
  </sheetData>
  <mergeCells count="6">
    <mergeCell ref="I49:M49"/>
    <mergeCell ref="A1:K1"/>
    <mergeCell ref="A19:M19"/>
    <mergeCell ref="G21:K21"/>
    <mergeCell ref="A29:M29"/>
    <mergeCell ref="A47:M4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0F62-7B4A-4315-9F43-4956B85F5D2F}">
  <dimension ref="A1:J49"/>
  <sheetViews>
    <sheetView workbookViewId="0"/>
  </sheetViews>
  <sheetFormatPr defaultRowHeight="15"/>
  <sheetData>
    <row r="1" spans="1:10" ht="21">
      <c r="A1" s="317" t="s">
        <v>3089</v>
      </c>
      <c r="B1" s="321"/>
      <c r="C1" s="321"/>
      <c r="D1" s="321"/>
      <c r="E1" s="321"/>
      <c r="F1" s="321"/>
      <c r="G1" s="321"/>
      <c r="H1" s="321"/>
      <c r="I1" s="321"/>
      <c r="J1" s="321"/>
    </row>
    <row r="3" spans="1:10">
      <c r="A3" s="216" t="s">
        <v>41</v>
      </c>
      <c r="B3" s="216" t="s">
        <v>2482</v>
      </c>
      <c r="C3" s="216" t="s">
        <v>3090</v>
      </c>
      <c r="D3" s="216" t="s">
        <v>3091</v>
      </c>
      <c r="E3" s="216" t="s">
        <v>3004</v>
      </c>
      <c r="F3" s="216" t="s">
        <v>3092</v>
      </c>
      <c r="G3" s="216" t="s">
        <v>2216</v>
      </c>
      <c r="H3" s="216" t="s">
        <v>47</v>
      </c>
      <c r="I3" s="216" t="s">
        <v>3093</v>
      </c>
      <c r="J3" s="216" t="s">
        <v>504</v>
      </c>
    </row>
    <row r="4" spans="1:10">
      <c r="A4" s="61" t="s">
        <v>3073</v>
      </c>
      <c r="B4" s="61" t="s">
        <v>3094</v>
      </c>
      <c r="C4" s="61" t="s">
        <v>3095</v>
      </c>
      <c r="D4" s="61" t="s">
        <v>3096</v>
      </c>
      <c r="E4" s="61" t="s">
        <v>3009</v>
      </c>
      <c r="F4" s="61" t="s">
        <v>3097</v>
      </c>
      <c r="G4" s="61" t="s">
        <v>3098</v>
      </c>
      <c r="H4" s="61" t="s">
        <v>2129</v>
      </c>
      <c r="I4" s="61" t="s">
        <v>3099</v>
      </c>
      <c r="J4" s="61" t="s">
        <v>3100</v>
      </c>
    </row>
    <row r="5" spans="1:10">
      <c r="A5" s="61" t="s">
        <v>3101</v>
      </c>
      <c r="B5" s="61" t="s">
        <v>3094</v>
      </c>
      <c r="C5" s="61" t="s">
        <v>3102</v>
      </c>
      <c r="D5" s="61" t="s">
        <v>3103</v>
      </c>
      <c r="E5" s="61" t="s">
        <v>3104</v>
      </c>
      <c r="F5" s="61" t="s">
        <v>3105</v>
      </c>
      <c r="G5" s="61" t="s">
        <v>3106</v>
      </c>
      <c r="H5" s="61" t="s">
        <v>2129</v>
      </c>
      <c r="I5" s="61" t="s">
        <v>3099</v>
      </c>
      <c r="J5" s="61" t="s">
        <v>3107</v>
      </c>
    </row>
    <row r="6" spans="1:10">
      <c r="A6" s="61" t="s">
        <v>3108</v>
      </c>
      <c r="B6" s="61" t="s">
        <v>3094</v>
      </c>
      <c r="C6" s="61" t="s">
        <v>3109</v>
      </c>
      <c r="D6" s="61" t="s">
        <v>3110</v>
      </c>
      <c r="E6" s="61" t="s">
        <v>3111</v>
      </c>
      <c r="F6" s="61" t="s">
        <v>3112</v>
      </c>
      <c r="G6" s="61" t="s">
        <v>3113</v>
      </c>
      <c r="H6" s="61" t="s">
        <v>2129</v>
      </c>
      <c r="I6" s="61" t="s">
        <v>3099</v>
      </c>
      <c r="J6" s="61" t="s">
        <v>3114</v>
      </c>
    </row>
    <row r="7" spans="1:10">
      <c r="A7" s="55" t="s">
        <v>3115</v>
      </c>
      <c r="B7" s="55" t="s">
        <v>2163</v>
      </c>
      <c r="C7" s="55" t="s">
        <v>3116</v>
      </c>
      <c r="D7" s="55" t="s">
        <v>785</v>
      </c>
      <c r="E7" s="55" t="s">
        <v>3117</v>
      </c>
      <c r="F7" s="55" t="s">
        <v>2233</v>
      </c>
      <c r="G7" s="55" t="s">
        <v>3118</v>
      </c>
      <c r="H7" s="55" t="s">
        <v>2129</v>
      </c>
      <c r="I7" s="55" t="s">
        <v>3099</v>
      </c>
      <c r="J7" s="55" t="s">
        <v>3119</v>
      </c>
    </row>
    <row r="8" spans="1:10">
      <c r="A8" s="64" t="s">
        <v>3120</v>
      </c>
      <c r="B8" s="64" t="s">
        <v>2410</v>
      </c>
      <c r="C8" s="64" t="s">
        <v>3116</v>
      </c>
      <c r="D8" s="64" t="s">
        <v>2955</v>
      </c>
      <c r="E8" s="64" t="s">
        <v>3121</v>
      </c>
      <c r="F8" s="64" t="s">
        <v>3122</v>
      </c>
      <c r="G8" s="64" t="s">
        <v>3123</v>
      </c>
      <c r="H8" s="64" t="s">
        <v>2129</v>
      </c>
      <c r="I8" s="64" t="s">
        <v>3099</v>
      </c>
      <c r="J8" s="64" t="s">
        <v>3124</v>
      </c>
    </row>
    <row r="9" spans="1:10">
      <c r="A9" s="3" t="s">
        <v>3125</v>
      </c>
      <c r="B9" s="3" t="s">
        <v>3126</v>
      </c>
      <c r="C9" s="3" t="s">
        <v>3127</v>
      </c>
      <c r="D9" s="3" t="s">
        <v>3128</v>
      </c>
      <c r="E9" s="3" t="s">
        <v>3129</v>
      </c>
      <c r="F9" s="3" t="s">
        <v>3130</v>
      </c>
      <c r="G9" s="3" t="s">
        <v>3131</v>
      </c>
      <c r="H9" s="3" t="s">
        <v>2129</v>
      </c>
      <c r="I9" s="3" t="s">
        <v>3099</v>
      </c>
      <c r="J9" s="3" t="s">
        <v>3132</v>
      </c>
    </row>
    <row r="10" spans="1:10">
      <c r="A10" s="217" t="s">
        <v>3133</v>
      </c>
      <c r="B10" s="217" t="s">
        <v>3134</v>
      </c>
      <c r="C10" s="217" t="s">
        <v>2155</v>
      </c>
      <c r="D10" s="217" t="s">
        <v>3135</v>
      </c>
      <c r="E10" s="217" t="s">
        <v>3136</v>
      </c>
      <c r="F10" s="217" t="s">
        <v>3137</v>
      </c>
      <c r="G10" s="217" t="s">
        <v>3138</v>
      </c>
      <c r="H10" s="217" t="s">
        <v>2129</v>
      </c>
      <c r="I10" s="217" t="s">
        <v>3099</v>
      </c>
      <c r="J10" s="217" t="s">
        <v>3139</v>
      </c>
    </row>
    <row r="11" spans="1:10">
      <c r="A11" s="160" t="s">
        <v>3140</v>
      </c>
      <c r="B11" s="160" t="s">
        <v>2488</v>
      </c>
      <c r="C11" s="160" t="s">
        <v>3090</v>
      </c>
      <c r="D11" s="160" t="s">
        <v>3091</v>
      </c>
      <c r="E11" s="160" t="s">
        <v>3104</v>
      </c>
      <c r="F11" s="160" t="s">
        <v>3141</v>
      </c>
      <c r="G11" s="160" t="s">
        <v>3142</v>
      </c>
      <c r="H11" s="160" t="s">
        <v>2129</v>
      </c>
      <c r="I11" s="160" t="s">
        <v>3099</v>
      </c>
      <c r="J11" s="160" t="s">
        <v>3143</v>
      </c>
    </row>
    <row r="12" spans="1:10">
      <c r="A12" s="218" t="s">
        <v>1560</v>
      </c>
      <c r="B12" s="218" t="s">
        <v>1388</v>
      </c>
      <c r="C12" s="218" t="s">
        <v>2955</v>
      </c>
      <c r="D12" s="218" t="s">
        <v>2976</v>
      </c>
      <c r="E12" s="218" t="s">
        <v>3144</v>
      </c>
      <c r="F12" s="218" t="s">
        <v>3145</v>
      </c>
      <c r="G12" s="218" t="s">
        <v>3146</v>
      </c>
      <c r="H12" s="218" t="s">
        <v>1553</v>
      </c>
      <c r="I12" s="218" t="s">
        <v>3099</v>
      </c>
      <c r="J12" s="218" t="s">
        <v>3147</v>
      </c>
    </row>
    <row r="13" spans="1:10">
      <c r="A13" s="219" t="s">
        <v>3148</v>
      </c>
      <c r="B13" s="219" t="s">
        <v>3149</v>
      </c>
      <c r="C13" s="219" t="s">
        <v>2129</v>
      </c>
      <c r="D13" s="219" t="s">
        <v>2976</v>
      </c>
      <c r="E13" s="219" t="s">
        <v>3150</v>
      </c>
      <c r="F13" s="219" t="s">
        <v>3151</v>
      </c>
      <c r="G13" s="219" t="s">
        <v>3152</v>
      </c>
      <c r="H13" s="219" t="s">
        <v>2129</v>
      </c>
      <c r="I13" s="219" t="s">
        <v>3099</v>
      </c>
      <c r="J13" s="219" t="s">
        <v>3153</v>
      </c>
    </row>
    <row r="16" spans="1:10">
      <c r="A16" s="371" t="s">
        <v>3154</v>
      </c>
      <c r="B16" s="321"/>
      <c r="C16" s="321"/>
      <c r="D16" s="321"/>
      <c r="F16" s="372" t="s">
        <v>3155</v>
      </c>
      <c r="G16" s="321"/>
      <c r="H16" s="321"/>
      <c r="I16" s="321"/>
      <c r="J16" s="321"/>
    </row>
    <row r="18" spans="1:10">
      <c r="A18" s="159" t="s">
        <v>591</v>
      </c>
      <c r="B18" s="159" t="s">
        <v>592</v>
      </c>
      <c r="C18" s="159" t="s">
        <v>593</v>
      </c>
      <c r="D18" s="159" t="s">
        <v>718</v>
      </c>
      <c r="F18" s="220" t="s">
        <v>686</v>
      </c>
      <c r="G18" s="220" t="s">
        <v>3156</v>
      </c>
      <c r="H18" s="220" t="s">
        <v>2227</v>
      </c>
      <c r="I18" s="220" t="s">
        <v>3157</v>
      </c>
      <c r="J18" s="220" t="s">
        <v>562</v>
      </c>
    </row>
    <row r="19" spans="1:10">
      <c r="A19" t="s">
        <v>563</v>
      </c>
      <c r="B19">
        <f>'DNA Loop Engine'!B5</f>
        <v>50</v>
      </c>
      <c r="C19" t="s">
        <v>668</v>
      </c>
      <c r="D19" t="s">
        <v>833</v>
      </c>
      <c r="F19" t="s">
        <v>690</v>
      </c>
      <c r="G19">
        <f>IFERROR('Sensory Integration'!R2,1)</f>
        <v>1.7</v>
      </c>
      <c r="H19">
        <v>0.25</v>
      </c>
      <c r="I19">
        <f>G19*H19</f>
        <v>0.42499999999999999</v>
      </c>
      <c r="J19" t="str">
        <f>IF(I19&gt;0.3,"🟢 Active",IF(I19&gt;0.1,"🟡 Weak","🔴 None"))</f>
        <v>🟢 Active</v>
      </c>
    </row>
    <row r="20" spans="1:10">
      <c r="A20" t="s">
        <v>3158</v>
      </c>
      <c r="B20" t="s">
        <v>3159</v>
      </c>
      <c r="F20" t="s">
        <v>691</v>
      </c>
      <c r="G20">
        <f>IFERROR('Sensory Integration'!R5,1)</f>
        <v>1.7</v>
      </c>
      <c r="H20">
        <v>0.2</v>
      </c>
      <c r="I20">
        <f>G20*H20</f>
        <v>0.34</v>
      </c>
      <c r="J20" t="str">
        <f>IF(I20&gt;0.3,"🟢 Active",IF(I20&gt;0.1,"🟡 Weak","🔴 None"))</f>
        <v>🟢 Active</v>
      </c>
    </row>
    <row r="21" spans="1:10">
      <c r="F21" t="s">
        <v>692</v>
      </c>
      <c r="G21">
        <f>IFERROR('Sensory Integration'!R8,1)</f>
        <v>1.5</v>
      </c>
      <c r="H21">
        <v>0.2</v>
      </c>
      <c r="I21">
        <f>G21*H21</f>
        <v>0.30000000000000004</v>
      </c>
      <c r="J21" t="str">
        <f>IF(I21&gt;0.3,"🟢 Active",IF(I21&gt;0.1,"🟡 Weak","🔴 None"))</f>
        <v>🟡 Weak</v>
      </c>
    </row>
    <row r="22" spans="1:10">
      <c r="A22" s="373" t="s">
        <v>3160</v>
      </c>
      <c r="B22" s="321"/>
      <c r="C22" s="321"/>
      <c r="D22" s="321"/>
      <c r="F22" t="s">
        <v>693</v>
      </c>
      <c r="G22">
        <f>IFERROR('Sensory Integration'!R12,1)</f>
        <v>1.6</v>
      </c>
      <c r="H22">
        <v>0.15</v>
      </c>
      <c r="I22">
        <f>G22*H22</f>
        <v>0.24</v>
      </c>
      <c r="J22" t="str">
        <f>IF(I22&gt;0.3,"🟢 Active",IF(I22&gt;0.1,"🟡 Weak","🔴 None"))</f>
        <v>🟡 Weak</v>
      </c>
    </row>
    <row r="23" spans="1:10">
      <c r="A23" t="s">
        <v>3161</v>
      </c>
      <c r="B23">
        <f>20+10*SIN(2*PI()*B19/52)</f>
        <v>17.606843357124422</v>
      </c>
      <c r="C23" t="s">
        <v>2302</v>
      </c>
      <c r="F23" t="s">
        <v>694</v>
      </c>
      <c r="G23">
        <f>IFERROR('Sensory Integration'!R14,1)</f>
        <v>1.5</v>
      </c>
      <c r="H23">
        <v>0.1</v>
      </c>
      <c r="I23">
        <f>G23*H23</f>
        <v>0.15000000000000002</v>
      </c>
      <c r="J23" t="str">
        <f>IF(I23&gt;0.3,"🟢 Active",IF(I23&gt;0.1,"🟡 Weak","🔴 None"))</f>
        <v>🟡 Weak</v>
      </c>
    </row>
    <row r="24" spans="1:10">
      <c r="A24" t="s">
        <v>3162</v>
      </c>
      <c r="B24">
        <v>37</v>
      </c>
      <c r="C24" t="s">
        <v>2302</v>
      </c>
      <c r="F24" t="s">
        <v>695</v>
      </c>
      <c r="G24">
        <f>IFERROR('Sensory Integration'!R16,1)</f>
        <v>1.7</v>
      </c>
      <c r="H24">
        <v>0.1</v>
      </c>
      <c r="I24">
        <f>G24*H24</f>
        <v>0.17</v>
      </c>
      <c r="J24" t="str">
        <f>IF(I24&gt;0.3,"🟢 Active",IF(I24&gt;0.1,"🟡 Weak","🔴 None"))</f>
        <v>🟡 Weak</v>
      </c>
    </row>
    <row r="25" spans="1:10">
      <c r="A25" t="s">
        <v>3163</v>
      </c>
      <c r="B25">
        <f>B24-B23</f>
        <v>19.393156642875578</v>
      </c>
      <c r="C25" t="s">
        <v>2302</v>
      </c>
    </row>
    <row r="26" spans="1:10">
      <c r="A26" t="s">
        <v>3164</v>
      </c>
      <c r="B26">
        <f>0.6*ABS(B25)</f>
        <v>11.635893985725346</v>
      </c>
      <c r="C26" t="s">
        <v>3165</v>
      </c>
      <c r="F26" s="1" t="s">
        <v>3166</v>
      </c>
      <c r="I26">
        <f>SUM(I19:I24)</f>
        <v>1.625</v>
      </c>
    </row>
    <row r="27" spans="1:10">
      <c r="A27" t="s">
        <v>3167</v>
      </c>
      <c r="B27" t="str">
        <f>IF(AND(B23&gt;15,B23&lt;30),"🟢 STABLE",IF(OR(B23&lt;5,B23&gt;35),"🔴 STRESS","🟡 ADJUSTING"))</f>
        <v>🟢 STABLE</v>
      </c>
      <c r="F27" s="1" t="s">
        <v>3168</v>
      </c>
      <c r="I27">
        <f>ROUND(I26/SUM(H19:H24)*100,1)</f>
        <v>162.5</v>
      </c>
      <c r="J27" t="s">
        <v>653</v>
      </c>
    </row>
    <row r="28" spans="1:10">
      <c r="F28" s="1" t="s">
        <v>3169</v>
      </c>
      <c r="I28" t="str">
        <f>IF(I27&gt;80,"🟢 UNIFIED",IF(I27&gt;50,"🟡 PARTIAL","🔴 FRAGMENTED"))</f>
        <v>🟢 UNIFIED</v>
      </c>
    </row>
    <row r="29" spans="1:10">
      <c r="A29" s="374" t="s">
        <v>3170</v>
      </c>
      <c r="B29" s="321"/>
      <c r="C29" s="321"/>
      <c r="D29" s="321"/>
    </row>
    <row r="30" spans="1:10">
      <c r="A30" t="s">
        <v>3171</v>
      </c>
      <c r="B30">
        <v>0.7</v>
      </c>
    </row>
    <row r="31" spans="1:10">
      <c r="A31" t="s">
        <v>3172</v>
      </c>
      <c r="B31">
        <f>70*9.81/0.05</f>
        <v>13734</v>
      </c>
      <c r="C31" t="s">
        <v>2245</v>
      </c>
    </row>
    <row r="32" spans="1:10">
      <c r="A32" t="s">
        <v>3173</v>
      </c>
      <c r="B32">
        <f>B31/(B30*1000000)</f>
        <v>1.9619999999999999E-2</v>
      </c>
      <c r="C32" t="s">
        <v>596</v>
      </c>
    </row>
    <row r="33" spans="1:10">
      <c r="A33" t="s">
        <v>3174</v>
      </c>
      <c r="B33">
        <f>MIN(1,B31/100000)</f>
        <v>0.13733999999999999</v>
      </c>
    </row>
    <row r="35" spans="1:10">
      <c r="A35" s="375" t="s">
        <v>3175</v>
      </c>
      <c r="B35" s="321"/>
      <c r="C35" s="321"/>
      <c r="D35" s="321"/>
    </row>
    <row r="36" spans="1:10">
      <c r="A36" t="s">
        <v>3176</v>
      </c>
      <c r="B36">
        <v>1000</v>
      </c>
      <c r="C36" t="s">
        <v>2252</v>
      </c>
    </row>
    <row r="37" spans="1:10">
      <c r="A37" t="s">
        <v>3177</v>
      </c>
      <c r="B37">
        <v>7.0000000000000007E-2</v>
      </c>
      <c r="C37" t="s">
        <v>3178</v>
      </c>
    </row>
    <row r="38" spans="1:10">
      <c r="A38" t="s">
        <v>3179</v>
      </c>
      <c r="B38">
        <f>B36*9.81*B37</f>
        <v>686.7</v>
      </c>
      <c r="C38" t="s">
        <v>3180</v>
      </c>
    </row>
    <row r="39" spans="1:10">
      <c r="A39" t="s">
        <v>3181</v>
      </c>
      <c r="B39">
        <f>B38-(70*9.81)</f>
        <v>0</v>
      </c>
      <c r="C39" t="s">
        <v>3180</v>
      </c>
    </row>
    <row r="40" spans="1:10">
      <c r="A40" t="s">
        <v>3182</v>
      </c>
      <c r="B40" t="str">
        <f>IF(B39&gt;0,"🟢 FLOATING",IF(B39&gt;-100,"🟡 NEUTRAL","🔴 SINKING"))</f>
        <v>🟡 NEUTRAL</v>
      </c>
    </row>
    <row r="43" spans="1:10">
      <c r="A43" s="376" t="s">
        <v>3183</v>
      </c>
      <c r="B43" s="321"/>
      <c r="C43" s="321"/>
      <c r="D43" s="321"/>
      <c r="E43" s="321"/>
      <c r="F43" s="321"/>
      <c r="G43" s="321"/>
      <c r="H43" s="321"/>
      <c r="I43" s="321"/>
      <c r="J43" s="321"/>
    </row>
    <row r="45" spans="1:10">
      <c r="A45" t="s">
        <v>3184</v>
      </c>
      <c r="B45">
        <v>10</v>
      </c>
      <c r="D45" t="s">
        <v>3185</v>
      </c>
      <c r="E45" t="str">
        <f>IF(AND(B27="🟢 STABLE",B40&lt;&gt;"🔴 SINKING"),"🟢 OPTIMAL",IF(OR(B27="🔴 STRESS",B40="🔴 SINKING"),"🔴 CRITICAL","🟡 ACTIVE"))</f>
        <v>🟢 OPTIMAL</v>
      </c>
      <c r="G45" s="1" t="s">
        <v>828</v>
      </c>
    </row>
    <row r="46" spans="1:10">
      <c r="A46" t="s">
        <v>3186</v>
      </c>
      <c r="B46">
        <v>3</v>
      </c>
      <c r="G46" t="s">
        <v>833</v>
      </c>
      <c r="H46" t="s">
        <v>1742</v>
      </c>
      <c r="I46" t="s">
        <v>2370</v>
      </c>
      <c r="J46" t="s">
        <v>3187</v>
      </c>
    </row>
    <row r="47" spans="1:10">
      <c r="A47" t="s">
        <v>3188</v>
      </c>
      <c r="B47">
        <v>4</v>
      </c>
      <c r="G47" t="s">
        <v>1170</v>
      </c>
      <c r="H47" t="s">
        <v>3189</v>
      </c>
      <c r="I47" t="s">
        <v>2370</v>
      </c>
      <c r="J47" t="s">
        <v>3187</v>
      </c>
    </row>
    <row r="48" spans="1:10">
      <c r="A48" t="s">
        <v>3190</v>
      </c>
      <c r="B48">
        <v>3</v>
      </c>
      <c r="G48" t="s">
        <v>2927</v>
      </c>
      <c r="H48" t="s">
        <v>1215</v>
      </c>
      <c r="I48" t="s">
        <v>2370</v>
      </c>
      <c r="J48" t="s">
        <v>3187</v>
      </c>
    </row>
    <row r="49" spans="7:10">
      <c r="G49" t="s">
        <v>2754</v>
      </c>
      <c r="H49" t="s">
        <v>3191</v>
      </c>
      <c r="I49" t="s">
        <v>2370</v>
      </c>
      <c r="J49" t="s">
        <v>3187</v>
      </c>
    </row>
  </sheetData>
  <mergeCells count="7">
    <mergeCell ref="A43:J43"/>
    <mergeCell ref="A1:J1"/>
    <mergeCell ref="A16:D16"/>
    <mergeCell ref="A22:D22"/>
    <mergeCell ref="A29:D29"/>
    <mergeCell ref="A35:D35"/>
    <mergeCell ref="F16:J1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5F6D-8863-4F01-9DD4-AEB93FA20656}">
  <dimension ref="A1:K56"/>
  <sheetViews>
    <sheetView workbookViewId="0">
      <selection sqref="A1:K1"/>
    </sheetView>
  </sheetViews>
  <sheetFormatPr defaultRowHeight="15"/>
  <cols>
    <col min="1" max="1" width="30.42578125" customWidth="1"/>
    <col min="2" max="2" width="22.85546875" customWidth="1"/>
    <col min="3" max="4" width="19" customWidth="1"/>
    <col min="5" max="5" width="15.28515625" customWidth="1"/>
    <col min="6" max="6" width="26.7109375" customWidth="1"/>
    <col min="7" max="7" width="24.7109375" customWidth="1"/>
    <col min="8" max="8" width="19" customWidth="1"/>
    <col min="9" max="9" width="15.28515625" customWidth="1"/>
    <col min="10" max="10" width="19" customWidth="1"/>
    <col min="11" max="11" width="22.85546875" customWidth="1"/>
  </cols>
  <sheetData>
    <row r="1" spans="1:11" ht="21">
      <c r="A1" s="377" t="s">
        <v>3192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</row>
    <row r="3" spans="1:11">
      <c r="A3" s="221" t="s">
        <v>41</v>
      </c>
      <c r="B3" s="221" t="s">
        <v>3193</v>
      </c>
      <c r="C3" s="221" t="s">
        <v>3194</v>
      </c>
      <c r="D3" s="221" t="s">
        <v>3195</v>
      </c>
      <c r="E3" s="221" t="s">
        <v>3196</v>
      </c>
      <c r="F3" s="221" t="s">
        <v>1745</v>
      </c>
      <c r="G3" s="221" t="s">
        <v>2216</v>
      </c>
      <c r="H3" s="221" t="s">
        <v>47</v>
      </c>
      <c r="I3" s="221" t="s">
        <v>3005</v>
      </c>
      <c r="J3" s="221" t="s">
        <v>3093</v>
      </c>
      <c r="K3" s="221" t="s">
        <v>504</v>
      </c>
    </row>
    <row r="4" spans="1:11">
      <c r="A4" s="64" t="s">
        <v>3197</v>
      </c>
      <c r="B4" s="64" t="s">
        <v>2495</v>
      </c>
      <c r="C4" s="64" t="s">
        <v>3198</v>
      </c>
      <c r="D4" s="64" t="s">
        <v>2845</v>
      </c>
      <c r="E4" s="64">
        <v>0.05</v>
      </c>
      <c r="F4" s="64">
        <v>20</v>
      </c>
      <c r="G4" s="64" t="s">
        <v>3199</v>
      </c>
      <c r="H4" s="64" t="s">
        <v>65</v>
      </c>
      <c r="I4" s="64" t="s">
        <v>3200</v>
      </c>
      <c r="J4" s="64" t="s">
        <v>3099</v>
      </c>
      <c r="K4" s="64" t="s">
        <v>2647</v>
      </c>
    </row>
    <row r="5" spans="1:11">
      <c r="A5" s="61" t="s">
        <v>3201</v>
      </c>
      <c r="B5" s="61" t="s">
        <v>3094</v>
      </c>
      <c r="C5" s="61" t="s">
        <v>3202</v>
      </c>
      <c r="D5" s="61" t="s">
        <v>3203</v>
      </c>
      <c r="E5" s="61">
        <v>0.03</v>
      </c>
      <c r="F5" s="61">
        <v>101325</v>
      </c>
      <c r="G5" s="61" t="s">
        <v>3204</v>
      </c>
      <c r="H5" s="61" t="s">
        <v>65</v>
      </c>
      <c r="I5" s="61" t="s">
        <v>3205</v>
      </c>
      <c r="J5" s="61" t="s">
        <v>3099</v>
      </c>
      <c r="K5" s="61" t="s">
        <v>3206</v>
      </c>
    </row>
    <row r="6" spans="1:11">
      <c r="A6" s="190" t="s">
        <v>3207</v>
      </c>
      <c r="B6" s="190" t="s">
        <v>3208</v>
      </c>
      <c r="C6" s="190" t="s">
        <v>3209</v>
      </c>
      <c r="D6" s="190" t="s">
        <v>3210</v>
      </c>
      <c r="E6" s="190">
        <v>0.8</v>
      </c>
      <c r="F6" s="190">
        <v>0.5</v>
      </c>
      <c r="G6" s="190" t="s">
        <v>3211</v>
      </c>
      <c r="H6" s="190" t="s">
        <v>2129</v>
      </c>
      <c r="I6" s="190" t="s">
        <v>3212</v>
      </c>
      <c r="J6" s="190" t="s">
        <v>3099</v>
      </c>
      <c r="K6" s="190" t="s">
        <v>3213</v>
      </c>
    </row>
    <row r="7" spans="1:11">
      <c r="A7" s="218" t="s">
        <v>3079</v>
      </c>
      <c r="B7" s="218" t="s">
        <v>1394</v>
      </c>
      <c r="C7" s="218" t="s">
        <v>3081</v>
      </c>
      <c r="D7" s="218" t="s">
        <v>3214</v>
      </c>
      <c r="E7" s="218">
        <v>0.1</v>
      </c>
      <c r="F7" s="218">
        <v>10</v>
      </c>
      <c r="G7" s="218" t="s">
        <v>3215</v>
      </c>
      <c r="H7" s="218" t="s">
        <v>1553</v>
      </c>
      <c r="I7" s="218" t="s">
        <v>3216</v>
      </c>
      <c r="J7" s="218" t="s">
        <v>3099</v>
      </c>
      <c r="K7" s="218" t="s">
        <v>3217</v>
      </c>
    </row>
    <row r="8" spans="1:11">
      <c r="A8" s="222" t="s">
        <v>3218</v>
      </c>
      <c r="B8" s="222" t="s">
        <v>2973</v>
      </c>
      <c r="C8" s="222" t="s">
        <v>3219</v>
      </c>
      <c r="D8" s="222" t="s">
        <v>2883</v>
      </c>
      <c r="E8" s="222">
        <v>0.15</v>
      </c>
      <c r="F8" s="222">
        <v>0</v>
      </c>
      <c r="G8" s="222" t="s">
        <v>3220</v>
      </c>
      <c r="H8" s="222" t="s">
        <v>65</v>
      </c>
      <c r="I8" s="222" t="s">
        <v>3221</v>
      </c>
      <c r="J8" s="222" t="s">
        <v>3099</v>
      </c>
      <c r="K8" s="222" t="s">
        <v>3222</v>
      </c>
    </row>
    <row r="9" spans="1:11">
      <c r="A9" s="55" t="s">
        <v>3223</v>
      </c>
      <c r="B9" s="55" t="s">
        <v>2163</v>
      </c>
      <c r="C9" s="55" t="s">
        <v>2311</v>
      </c>
      <c r="D9" s="55" t="s">
        <v>3224</v>
      </c>
      <c r="E9" s="55">
        <v>0.02</v>
      </c>
      <c r="F9" s="55">
        <v>45</v>
      </c>
      <c r="G9" s="55" t="s">
        <v>3225</v>
      </c>
      <c r="H9" s="55" t="s">
        <v>65</v>
      </c>
      <c r="I9" s="55" t="s">
        <v>3226</v>
      </c>
      <c r="J9" s="55" t="s">
        <v>3099</v>
      </c>
      <c r="K9" s="55" t="s">
        <v>3227</v>
      </c>
    </row>
    <row r="10" spans="1:11">
      <c r="A10" s="3" t="s">
        <v>3228</v>
      </c>
      <c r="B10" s="3" t="s">
        <v>3134</v>
      </c>
      <c r="C10" s="3" t="s">
        <v>3229</v>
      </c>
      <c r="D10" s="3" t="s">
        <v>3230</v>
      </c>
      <c r="E10" s="3">
        <v>0.25</v>
      </c>
      <c r="F10" s="3">
        <v>0.5</v>
      </c>
      <c r="G10" s="3" t="s">
        <v>3231</v>
      </c>
      <c r="H10" s="3" t="s">
        <v>1553</v>
      </c>
      <c r="I10" s="3" t="s">
        <v>3232</v>
      </c>
      <c r="J10" s="3" t="s">
        <v>3099</v>
      </c>
      <c r="K10" s="3" t="s">
        <v>3233</v>
      </c>
    </row>
    <row r="11" spans="1:11">
      <c r="A11" s="217" t="s">
        <v>3234</v>
      </c>
      <c r="B11" s="217" t="s">
        <v>2194</v>
      </c>
      <c r="C11" s="217" t="s">
        <v>3235</v>
      </c>
      <c r="D11" s="217" t="s">
        <v>3236</v>
      </c>
      <c r="E11" s="217">
        <v>0.01</v>
      </c>
      <c r="F11" s="217">
        <v>50</v>
      </c>
      <c r="G11" s="217" t="s">
        <v>3237</v>
      </c>
      <c r="H11" s="217" t="s">
        <v>2129</v>
      </c>
      <c r="I11" s="217" t="s">
        <v>3238</v>
      </c>
      <c r="J11" s="217" t="s">
        <v>3099</v>
      </c>
      <c r="K11" s="217" t="s">
        <v>3239</v>
      </c>
    </row>
    <row r="12" spans="1:11">
      <c r="A12" s="223" t="s">
        <v>3240</v>
      </c>
      <c r="B12" s="223" t="s">
        <v>1579</v>
      </c>
      <c r="C12" s="223" t="s">
        <v>3241</v>
      </c>
      <c r="D12" s="223" t="s">
        <v>3242</v>
      </c>
      <c r="E12" s="223">
        <v>-0.5</v>
      </c>
      <c r="F12" s="223">
        <v>0</v>
      </c>
      <c r="G12" s="223" t="s">
        <v>3243</v>
      </c>
      <c r="H12" s="223" t="s">
        <v>65</v>
      </c>
      <c r="I12" s="223" t="s">
        <v>3244</v>
      </c>
      <c r="J12" s="223" t="s">
        <v>3099</v>
      </c>
      <c r="K12" s="223" t="s">
        <v>3245</v>
      </c>
    </row>
    <row r="13" spans="1:11">
      <c r="A13" s="160" t="s">
        <v>3246</v>
      </c>
      <c r="B13" s="160" t="s">
        <v>2828</v>
      </c>
      <c r="C13" s="160" t="s">
        <v>2766</v>
      </c>
      <c r="D13" s="160" t="s">
        <v>3247</v>
      </c>
      <c r="E13" s="160">
        <v>10</v>
      </c>
      <c r="F13" s="160">
        <v>1E-3</v>
      </c>
      <c r="G13" s="160" t="s">
        <v>3248</v>
      </c>
      <c r="H13" s="160" t="s">
        <v>2129</v>
      </c>
      <c r="I13" s="160" t="s">
        <v>3249</v>
      </c>
      <c r="J13" s="160" t="s">
        <v>3099</v>
      </c>
      <c r="K13" s="160" t="s">
        <v>3250</v>
      </c>
    </row>
    <row r="16" spans="1:11">
      <c r="A16" s="376" t="s">
        <v>3251</v>
      </c>
      <c r="B16" s="376"/>
      <c r="C16" s="376"/>
      <c r="D16" s="376"/>
      <c r="E16" s="376"/>
      <c r="F16" s="372"/>
      <c r="G16" s="376"/>
      <c r="H16" s="376"/>
      <c r="I16" s="376"/>
      <c r="J16" s="376"/>
      <c r="K16" s="376"/>
    </row>
    <row r="18" spans="1:9">
      <c r="A18" s="87" t="s">
        <v>591</v>
      </c>
      <c r="B18" s="87" t="s">
        <v>592</v>
      </c>
      <c r="C18" s="87" t="s">
        <v>593</v>
      </c>
      <c r="D18" s="87" t="s">
        <v>562</v>
      </c>
      <c r="F18" s="220" t="s">
        <v>3252</v>
      </c>
      <c r="G18" s="220" t="s">
        <v>3253</v>
      </c>
      <c r="H18" s="220" t="s">
        <v>2002</v>
      </c>
      <c r="I18" s="220" t="s">
        <v>3254</v>
      </c>
    </row>
    <row r="19" spans="1:9">
      <c r="A19" t="s">
        <v>563</v>
      </c>
      <c r="B19">
        <f>'DNA Loop Engine'!B5</f>
        <v>50</v>
      </c>
      <c r="C19" t="s">
        <v>668</v>
      </c>
      <c r="F19" t="s">
        <v>3255</v>
      </c>
      <c r="G19">
        <v>1</v>
      </c>
      <c r="H19">
        <f>G19+0.05*(B23-20)</f>
        <v>0.8803421678562211</v>
      </c>
      <c r="I19">
        <f>ROUND((H19-G19)/G19*100,1)</f>
        <v>-12</v>
      </c>
    </row>
    <row r="20" spans="1:9">
      <c r="A20" t="s">
        <v>579</v>
      </c>
      <c r="B20" s="6">
        <f>'DNA Loop Engine'!B18</f>
        <v>1</v>
      </c>
      <c r="F20" t="s">
        <v>3256</v>
      </c>
      <c r="G20">
        <v>15</v>
      </c>
      <c r="H20">
        <f>G20+0.03*(B24-101325)/1000</f>
        <v>15</v>
      </c>
      <c r="I20">
        <f>ROUND((H20-G20)/G20*100,1)</f>
        <v>0</v>
      </c>
    </row>
    <row r="21" spans="1:9">
      <c r="F21" t="s">
        <v>3257</v>
      </c>
      <c r="G21">
        <v>0.5</v>
      </c>
      <c r="H21">
        <f>MIN(1,G21+0.8*B30)</f>
        <v>1</v>
      </c>
      <c r="I21">
        <f>ROUND((H21-G21)/G21*100,1)</f>
        <v>100</v>
      </c>
    </row>
    <row r="22" spans="1:9">
      <c r="A22" s="373" t="s">
        <v>3258</v>
      </c>
      <c r="B22" s="321"/>
      <c r="C22" s="321"/>
      <c r="D22" s="321"/>
      <c r="F22" t="s">
        <v>3259</v>
      </c>
      <c r="G22">
        <v>0.1</v>
      </c>
      <c r="H22">
        <f>MIN(1,G22+0.15*B31+0.5*B33)</f>
        <v>0.125</v>
      </c>
      <c r="I22">
        <f>ROUND((H22-G22)/G22*100,1)</f>
        <v>25</v>
      </c>
    </row>
    <row r="23" spans="1:9">
      <c r="A23" t="s">
        <v>3161</v>
      </c>
      <c r="B23">
        <f>20+10*SIN(2*PI()*B19/52)</f>
        <v>17.606843357124422</v>
      </c>
      <c r="C23" t="s">
        <v>2302</v>
      </c>
      <c r="D23" t="str">
        <f>IF(AND(B23&gt;15,B23&lt;30),"🟢 Optimal",IF(OR(B23&lt;5,B23&gt;35),"🔴 Extreme","🟡 Tolerable"))</f>
        <v>🟢 Optimal</v>
      </c>
      <c r="F23" t="s">
        <v>3260</v>
      </c>
      <c r="G23">
        <v>0.7</v>
      </c>
      <c r="H23">
        <f>MAX(0,MIN(1,G23+0.02*(B25-45)))</f>
        <v>1</v>
      </c>
      <c r="I23">
        <f>ROUND((H23-G23)/G23*100,1)</f>
        <v>42.9</v>
      </c>
    </row>
    <row r="24" spans="1:9">
      <c r="A24" t="s">
        <v>3261</v>
      </c>
      <c r="B24">
        <v>101325</v>
      </c>
      <c r="C24" t="s">
        <v>2245</v>
      </c>
      <c r="D24" t="str">
        <f>IF(AND(B24&gt;95000,B24&lt;106000),"🟢 Normal","🟡 Adjusted")</f>
        <v>🟢 Normal</v>
      </c>
      <c r="F24" t="s">
        <v>3262</v>
      </c>
      <c r="G24">
        <v>0.5</v>
      </c>
      <c r="H24">
        <f>MAX(0,MIN(1,G24+0.25*(B26-0.5)))</f>
        <v>0.625</v>
      </c>
      <c r="I24">
        <f>ROUND((H24-G24)/G24*100,1)</f>
        <v>25</v>
      </c>
    </row>
    <row r="25" spans="1:9">
      <c r="A25" t="s">
        <v>3263</v>
      </c>
      <c r="B25">
        <f>45+20*COS(2*PI()*B19/52)</f>
        <v>64.41883634852104</v>
      </c>
      <c r="C25" t="s">
        <v>653</v>
      </c>
      <c r="D25" t="str">
        <f>IF(AND(B25&gt;30,B25&lt;70),"🟢 Comfortable","🟡 Stress")</f>
        <v>🟢 Comfortable</v>
      </c>
      <c r="F25" t="s">
        <v>3264</v>
      </c>
      <c r="G25">
        <v>0.5</v>
      </c>
      <c r="H25">
        <f>MAX(0,MIN(1,G25+0.1*(B32-10)/10))</f>
        <v>0.48</v>
      </c>
      <c r="I25">
        <f>ROUND((H25-G25)/G25*100,1)</f>
        <v>-4</v>
      </c>
    </row>
    <row r="26" spans="1:9">
      <c r="A26" t="s">
        <v>3265</v>
      </c>
      <c r="B26">
        <f>IF(MOD(B19*80,160)&lt;80,1,0.1)</f>
        <v>1</v>
      </c>
      <c r="C26" t="s">
        <v>634</v>
      </c>
      <c r="D26" t="str">
        <f>IF(B26&gt;0.5,"☀️ Day","🌙 Night")</f>
        <v>☀️ Day</v>
      </c>
      <c r="F26" t="s">
        <v>3266</v>
      </c>
      <c r="G26">
        <v>1</v>
      </c>
      <c r="H26">
        <f>MAX(0,G26-0.5*B33)</f>
        <v>0.97499999999999998</v>
      </c>
      <c r="I26">
        <f>ROUND((H26-G26)/G26*100,1)</f>
        <v>-2.5</v>
      </c>
    </row>
    <row r="27" spans="1:9">
      <c r="A27" t="s">
        <v>3267</v>
      </c>
      <c r="B27">
        <v>50</v>
      </c>
      <c r="C27" t="s">
        <v>2473</v>
      </c>
      <c r="D27" t="s">
        <v>3268</v>
      </c>
      <c r="F27" t="s">
        <v>3269</v>
      </c>
      <c r="G27">
        <v>0</v>
      </c>
      <c r="H27">
        <f>G27+10*B34</f>
        <v>0.01</v>
      </c>
      <c r="I27">
        <f>ROUND(H27*100,2)</f>
        <v>1</v>
      </c>
    </row>
    <row r="29" spans="1:9">
      <c r="A29" s="378" t="s">
        <v>3270</v>
      </c>
      <c r="B29" s="321"/>
      <c r="C29" s="321"/>
      <c r="D29" s="321"/>
      <c r="F29" s="371" t="s">
        <v>3271</v>
      </c>
      <c r="G29" s="321"/>
      <c r="H29" s="321"/>
      <c r="I29" s="321"/>
    </row>
    <row r="30" spans="1:9">
      <c r="A30" t="s">
        <v>3272</v>
      </c>
      <c r="B30">
        <v>0.7</v>
      </c>
      <c r="C30" t="s">
        <v>634</v>
      </c>
      <c r="D30" t="str">
        <f>IF(B30&gt;0.6,"🟢 Abundant",IF(B30&gt;0.3,"🟡 Moderate","🔴 Scarce"))</f>
        <v>🟢 Abundant</v>
      </c>
    </row>
    <row r="31" spans="1:9">
      <c r="A31" t="s">
        <v>3273</v>
      </c>
      <c r="B31">
        <v>0</v>
      </c>
      <c r="C31" t="s">
        <v>3274</v>
      </c>
      <c r="D31" t="str">
        <f>IF(B31=0,"🟢 Safe",IF(B31&lt;3,"🟡 Alert","🔴 Danger"))</f>
        <v>🟢 Safe</v>
      </c>
      <c r="F31" s="1" t="s">
        <v>3275</v>
      </c>
      <c r="H31">
        <f>AVERAGE(H19:H27)</f>
        <v>2.2328157964284694</v>
      </c>
    </row>
    <row r="32" spans="1:9">
      <c r="A32" t="s">
        <v>3276</v>
      </c>
      <c r="B32">
        <v>8</v>
      </c>
      <c r="C32" t="s">
        <v>3277</v>
      </c>
      <c r="D32" t="str">
        <f>IF(AND(B32&gt;5,B32&lt;20),"🟢 Optimal",IF(B32&gt;50,"🔴 Crowded","🟡 Sparse"))</f>
        <v>🟢 Optimal</v>
      </c>
      <c r="F32" s="1" t="s">
        <v>3278</v>
      </c>
      <c r="H32">
        <f>ROUND((1-STDEV(H19:H27))*100,1)</f>
        <v>-380.2</v>
      </c>
      <c r="I32" t="s">
        <v>653</v>
      </c>
    </row>
    <row r="33" spans="1:11">
      <c r="A33" t="s">
        <v>3279</v>
      </c>
      <c r="B33">
        <v>0.05</v>
      </c>
      <c r="C33" t="s">
        <v>634</v>
      </c>
      <c r="D33" t="str">
        <f>IF(B33&lt;0.1,"🟢 Clean",IF(B33&lt;0.3,"🟡 Moderate","🔴 Toxic"))</f>
        <v>🟢 Clean</v>
      </c>
      <c r="F33" s="1" t="s">
        <v>3280</v>
      </c>
      <c r="H33">
        <f>ROUND((H21*0.3+H26*0.4+(1-H22)*0.3)*100,1)</f>
        <v>95.3</v>
      </c>
      <c r="I33" t="s">
        <v>653</v>
      </c>
    </row>
    <row r="34" spans="1:11">
      <c r="A34" t="s">
        <v>3281</v>
      </c>
      <c r="B34">
        <f>IFERROR('Genetic Inheritance'!B8,0.001)</f>
        <v>1E-3</v>
      </c>
      <c r="C34" t="s">
        <v>2767</v>
      </c>
      <c r="D34" t="str">
        <f>IF(B34&lt;0.01,"🟢 Stable","🟡 Elevated")</f>
        <v>🟢 Stable</v>
      </c>
      <c r="F34" s="1" t="s">
        <v>3282</v>
      </c>
      <c r="H34" t="str">
        <f>IF(H33&gt;70,"🟢 THRIVING",IF(H33&gt;40,"🟡 STABLE","🔴 STRESSED"))</f>
        <v>🟢 THRIVING</v>
      </c>
    </row>
    <row r="37" spans="1:11">
      <c r="A37" s="376" t="s">
        <v>3283</v>
      </c>
      <c r="B37" s="321"/>
      <c r="C37" s="321"/>
      <c r="D37" s="321"/>
      <c r="E37" s="321"/>
      <c r="F37" s="321"/>
      <c r="G37" s="321"/>
      <c r="H37" s="321"/>
      <c r="I37" s="321"/>
      <c r="J37" s="321"/>
      <c r="K37" s="321"/>
    </row>
    <row r="39" spans="1:11">
      <c r="A39" s="87" t="s">
        <v>3284</v>
      </c>
      <c r="B39" s="87" t="s">
        <v>3285</v>
      </c>
      <c r="C39" s="87" t="s">
        <v>1150</v>
      </c>
      <c r="D39" s="87" t="s">
        <v>3286</v>
      </c>
      <c r="E39" s="87" t="s">
        <v>562</v>
      </c>
      <c r="G39" s="1" t="s">
        <v>3062</v>
      </c>
    </row>
    <row r="40" spans="1:11">
      <c r="A40" s="55" t="s">
        <v>2299</v>
      </c>
      <c r="B40" s="55" t="s">
        <v>3287</v>
      </c>
      <c r="C40" s="55" t="s">
        <v>3288</v>
      </c>
      <c r="D40" s="55" t="s">
        <v>2487</v>
      </c>
      <c r="E40" s="55" t="s">
        <v>3289</v>
      </c>
      <c r="G40" s="87" t="s">
        <v>955</v>
      </c>
      <c r="H40" s="87" t="s">
        <v>2721</v>
      </c>
      <c r="I40" s="87" t="s">
        <v>598</v>
      </c>
      <c r="J40" s="87" t="s">
        <v>562</v>
      </c>
    </row>
    <row r="41" spans="1:11">
      <c r="A41" s="55" t="s">
        <v>3290</v>
      </c>
      <c r="B41" s="55" t="s">
        <v>3291</v>
      </c>
      <c r="C41" s="55" t="s">
        <v>3288</v>
      </c>
      <c r="D41" s="55" t="s">
        <v>2490</v>
      </c>
      <c r="E41" s="55" t="s">
        <v>3289</v>
      </c>
      <c r="G41" t="s">
        <v>833</v>
      </c>
      <c r="H41" t="s">
        <v>3292</v>
      </c>
      <c r="I41" t="s">
        <v>3066</v>
      </c>
      <c r="J41" t="s">
        <v>1521</v>
      </c>
    </row>
    <row r="42" spans="1:11">
      <c r="A42" s="64" t="s">
        <v>3293</v>
      </c>
      <c r="B42" s="64" t="s">
        <v>3294</v>
      </c>
      <c r="C42" s="64" t="s">
        <v>3295</v>
      </c>
      <c r="D42" s="64" t="s">
        <v>2487</v>
      </c>
      <c r="E42" s="64" t="s">
        <v>3296</v>
      </c>
      <c r="G42" t="s">
        <v>3297</v>
      </c>
      <c r="H42" t="s">
        <v>2766</v>
      </c>
      <c r="I42" t="s">
        <v>3066</v>
      </c>
      <c r="J42" t="s">
        <v>1521</v>
      </c>
    </row>
    <row r="43" spans="1:11">
      <c r="A43" s="64" t="s">
        <v>3298</v>
      </c>
      <c r="B43" s="64" t="s">
        <v>3299</v>
      </c>
      <c r="C43" s="64" t="s">
        <v>3295</v>
      </c>
      <c r="D43" s="64" t="s">
        <v>2487</v>
      </c>
      <c r="E43" s="64" t="s">
        <v>3296</v>
      </c>
      <c r="G43" t="s">
        <v>882</v>
      </c>
      <c r="H43" t="s">
        <v>1186</v>
      </c>
      <c r="I43" t="s">
        <v>3080</v>
      </c>
      <c r="J43" t="s">
        <v>1521</v>
      </c>
    </row>
    <row r="44" spans="1:11">
      <c r="A44" s="55" t="s">
        <v>3300</v>
      </c>
      <c r="B44" s="55" t="s">
        <v>3301</v>
      </c>
      <c r="C44" s="55" t="s">
        <v>3288</v>
      </c>
      <c r="D44" s="55" t="s">
        <v>2490</v>
      </c>
      <c r="E44" s="55" t="s">
        <v>3289</v>
      </c>
      <c r="G44" t="s">
        <v>836</v>
      </c>
      <c r="H44" t="s">
        <v>3302</v>
      </c>
      <c r="I44" t="s">
        <v>3080</v>
      </c>
      <c r="J44" t="s">
        <v>1521</v>
      </c>
    </row>
    <row r="45" spans="1:11">
      <c r="A45" s="217" t="s">
        <v>3303</v>
      </c>
      <c r="B45" s="217" t="s">
        <v>3304</v>
      </c>
      <c r="C45" s="217" t="s">
        <v>3305</v>
      </c>
      <c r="D45" s="217" t="s">
        <v>2487</v>
      </c>
      <c r="E45" s="217" t="s">
        <v>3306</v>
      </c>
      <c r="G45" t="s">
        <v>1170</v>
      </c>
      <c r="H45" t="s">
        <v>1798</v>
      </c>
      <c r="I45" t="s">
        <v>3080</v>
      </c>
      <c r="J45" t="s">
        <v>1521</v>
      </c>
    </row>
    <row r="46" spans="1:11">
      <c r="A46" s="55" t="s">
        <v>3307</v>
      </c>
      <c r="B46" s="55" t="s">
        <v>3308</v>
      </c>
      <c r="C46" s="55" t="s">
        <v>3288</v>
      </c>
      <c r="D46" s="55" t="s">
        <v>3309</v>
      </c>
      <c r="E46" s="55" t="s">
        <v>3289</v>
      </c>
      <c r="G46" t="s">
        <v>2754</v>
      </c>
      <c r="H46" t="s">
        <v>3191</v>
      </c>
      <c r="I46" t="s">
        <v>3074</v>
      </c>
      <c r="J46" t="s">
        <v>1521</v>
      </c>
    </row>
    <row r="47" spans="1:11">
      <c r="A47" s="64" t="s">
        <v>3310</v>
      </c>
      <c r="B47" s="64" t="s">
        <v>3311</v>
      </c>
      <c r="C47" s="64" t="s">
        <v>3295</v>
      </c>
      <c r="D47" s="64" t="s">
        <v>3309</v>
      </c>
      <c r="E47" s="64" t="s">
        <v>3296</v>
      </c>
      <c r="G47" t="s">
        <v>2927</v>
      </c>
      <c r="H47" t="s">
        <v>2376</v>
      </c>
      <c r="I47" t="s">
        <v>3066</v>
      </c>
      <c r="J47" t="s">
        <v>1521</v>
      </c>
    </row>
    <row r="48" spans="1:11">
      <c r="G48" t="s">
        <v>3072</v>
      </c>
      <c r="H48" t="s">
        <v>3312</v>
      </c>
      <c r="I48" t="s">
        <v>3074</v>
      </c>
      <c r="J48" t="s">
        <v>1521</v>
      </c>
    </row>
    <row r="50" spans="1:11">
      <c r="A50" s="371" t="s">
        <v>3313</v>
      </c>
      <c r="B50" s="321"/>
      <c r="C50" s="321"/>
      <c r="D50" s="321"/>
      <c r="E50" s="321"/>
      <c r="F50" s="321"/>
      <c r="G50" s="321"/>
      <c r="H50" s="321"/>
      <c r="I50" s="321"/>
      <c r="J50" s="321"/>
      <c r="K50" s="321"/>
    </row>
    <row r="52" spans="1:11">
      <c r="A52" t="s">
        <v>3314</v>
      </c>
      <c r="B52">
        <v>10</v>
      </c>
      <c r="D52" t="s">
        <v>3315</v>
      </c>
      <c r="E52">
        <f>ROUND((COUNTIF(D23:D34,"🟢*")/COUNTA(D23:D34))*100,0)</f>
        <v>90</v>
      </c>
      <c r="F52" t="s">
        <v>653</v>
      </c>
    </row>
    <row r="53" spans="1:11">
      <c r="A53" t="s">
        <v>3316</v>
      </c>
      <c r="B53">
        <v>2</v>
      </c>
      <c r="D53" t="s">
        <v>3317</v>
      </c>
      <c r="E53">
        <f>H33</f>
        <v>95.3</v>
      </c>
      <c r="F53" t="s">
        <v>653</v>
      </c>
    </row>
    <row r="54" spans="1:11">
      <c r="A54" t="s">
        <v>3318</v>
      </c>
      <c r="B54">
        <v>4</v>
      </c>
      <c r="D54" t="s">
        <v>3319</v>
      </c>
      <c r="E54">
        <f>H32</f>
        <v>-380.2</v>
      </c>
      <c r="F54" t="s">
        <v>653</v>
      </c>
    </row>
    <row r="55" spans="1:11">
      <c r="A55" t="s">
        <v>3320</v>
      </c>
      <c r="B55">
        <v>2</v>
      </c>
      <c r="D55" t="s">
        <v>3321</v>
      </c>
      <c r="E55" t="str">
        <f>H34</f>
        <v>🟢 THRIVING</v>
      </c>
    </row>
    <row r="56" spans="1:11">
      <c r="A56" t="s">
        <v>3322</v>
      </c>
      <c r="B56">
        <v>2</v>
      </c>
    </row>
  </sheetData>
  <mergeCells count="7">
    <mergeCell ref="A37:K37"/>
    <mergeCell ref="A50:K50"/>
    <mergeCell ref="A1:K1"/>
    <mergeCell ref="A22:D22"/>
    <mergeCell ref="A29:D29"/>
    <mergeCell ref="A16:K16"/>
    <mergeCell ref="F29:I2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E13C-68C8-45BF-BF83-C0B36C673BA1}">
  <dimension ref="A1:L39"/>
  <sheetViews>
    <sheetView workbookViewId="0"/>
  </sheetViews>
  <sheetFormatPr defaultRowHeight="15"/>
  <cols>
    <col min="1" max="1" width="26.7109375" customWidth="1"/>
    <col min="2" max="3" width="17.140625" customWidth="1"/>
    <col min="4" max="4" width="22.85546875" customWidth="1"/>
    <col min="5" max="5" width="15.28515625" customWidth="1"/>
    <col min="6" max="6" width="26.7109375" customWidth="1"/>
    <col min="7" max="8" width="19" customWidth="1"/>
    <col min="9" max="12" width="17.140625" customWidth="1"/>
  </cols>
  <sheetData>
    <row r="1" spans="1:12" ht="21">
      <c r="A1" s="224" t="s">
        <v>3323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</row>
    <row r="3" spans="1:12">
      <c r="A3" s="199" t="s">
        <v>41</v>
      </c>
      <c r="B3" s="199" t="s">
        <v>3324</v>
      </c>
      <c r="C3" s="199" t="s">
        <v>2121</v>
      </c>
      <c r="D3" s="199" t="s">
        <v>2122</v>
      </c>
      <c r="E3" s="199" t="s">
        <v>3325</v>
      </c>
      <c r="F3" s="199" t="s">
        <v>3326</v>
      </c>
      <c r="G3" s="199" t="s">
        <v>3327</v>
      </c>
      <c r="H3" s="199" t="s">
        <v>3328</v>
      </c>
      <c r="I3" s="199" t="s">
        <v>3329</v>
      </c>
      <c r="J3" s="199" t="s">
        <v>3330</v>
      </c>
      <c r="K3" s="199" t="s">
        <v>3331</v>
      </c>
      <c r="L3" s="199" t="s">
        <v>562</v>
      </c>
    </row>
    <row r="4" spans="1:12">
      <c r="A4" s="129" t="s">
        <v>3332</v>
      </c>
      <c r="B4" s="129" t="s">
        <v>2200</v>
      </c>
      <c r="C4" s="129" t="s">
        <v>2168</v>
      </c>
      <c r="D4" s="129" t="s">
        <v>2198</v>
      </c>
      <c r="E4" s="129" t="s">
        <v>3333</v>
      </c>
      <c r="F4" s="129" t="s">
        <v>870</v>
      </c>
      <c r="G4" s="129" t="s">
        <v>2487</v>
      </c>
      <c r="H4" s="129">
        <v>1000000</v>
      </c>
      <c r="I4" s="129">
        <f>H4*(1-J4*'DNA Loop Engine'!$B$5/100+K4*'DNA Loop Engine'!$B$5/100)</f>
        <v>1495000</v>
      </c>
      <c r="J4" s="129">
        <v>0.01</v>
      </c>
      <c r="K4" s="129">
        <v>1</v>
      </c>
      <c r="L4" s="129" t="str">
        <f>IF(I4/H4&gt;0.8,"🟢 Abundant",IF(I4/H4&gt;0.5,"🟡 Moderate",IF(I4/H4&gt;0.2,"🟠 Scarce","🔴 Depleted")))</f>
        <v>🟢 Abundant</v>
      </c>
    </row>
    <row r="5" spans="1:12">
      <c r="A5" s="129" t="s">
        <v>3334</v>
      </c>
      <c r="B5" s="129" t="s">
        <v>2200</v>
      </c>
      <c r="C5" s="129" t="s">
        <v>2144</v>
      </c>
      <c r="D5" s="129" t="s">
        <v>2133</v>
      </c>
      <c r="E5" s="129" t="s">
        <v>3333</v>
      </c>
      <c r="F5" s="129" t="s">
        <v>3335</v>
      </c>
      <c r="G5" s="129" t="s">
        <v>2490</v>
      </c>
      <c r="H5" s="129">
        <v>500000</v>
      </c>
      <c r="I5" s="129">
        <f>H5*(1-J5*'DNA Loop Engine'!$B$5/100+K5*'DNA Loop Engine'!$B$5/100)</f>
        <v>698750</v>
      </c>
      <c r="J5" s="129">
        <v>5.0000000000000001E-3</v>
      </c>
      <c r="K5" s="129">
        <v>0.8</v>
      </c>
      <c r="L5" s="129" t="str">
        <f>IF(I5/H5&gt;0.8,"🟢 Abundant",IF(I5/H5&gt;0.5,"🟡 Moderate",IF(I5/H5&gt;0.2,"🟠 Scarce","🔴 Depleted")))</f>
        <v>🟢 Abundant</v>
      </c>
    </row>
    <row r="6" spans="1:12">
      <c r="A6" s="129" t="s">
        <v>3336</v>
      </c>
      <c r="B6" s="129" t="s">
        <v>2200</v>
      </c>
      <c r="C6" s="129" t="s">
        <v>2162</v>
      </c>
      <c r="D6" s="129" t="s">
        <v>3337</v>
      </c>
      <c r="E6" s="129" t="s">
        <v>3333</v>
      </c>
      <c r="F6" s="129" t="s">
        <v>3338</v>
      </c>
      <c r="G6" s="129" t="s">
        <v>2490</v>
      </c>
      <c r="H6" s="129">
        <v>300000</v>
      </c>
      <c r="I6" s="129">
        <f>H6*(1-J6*'DNA Loop Engine'!$B$5/100+K6*'DNA Loop Engine'!$B$5/100)</f>
        <v>433800</v>
      </c>
      <c r="J6" s="129">
        <v>8.0000000000000002E-3</v>
      </c>
      <c r="K6" s="129">
        <v>0.9</v>
      </c>
      <c r="L6" s="129" t="str">
        <f>IF(I6/H6&gt;0.8,"🟢 Abundant",IF(I6/H6&gt;0.5,"🟡 Moderate",IF(I6/H6&gt;0.2,"🟠 Scarce","🔴 Depleted")))</f>
        <v>🟢 Abundant</v>
      </c>
    </row>
    <row r="7" spans="1:12">
      <c r="A7" s="129" t="s">
        <v>3339</v>
      </c>
      <c r="B7" s="129" t="s">
        <v>2200</v>
      </c>
      <c r="C7" s="129" t="s">
        <v>2168</v>
      </c>
      <c r="D7" s="129" t="s">
        <v>2403</v>
      </c>
      <c r="E7" s="129" t="s">
        <v>3333</v>
      </c>
      <c r="F7" s="129" t="s">
        <v>3340</v>
      </c>
      <c r="G7" s="129" t="s">
        <v>2490</v>
      </c>
      <c r="H7" s="129">
        <v>400000</v>
      </c>
      <c r="I7" s="129">
        <f>H7*(1-J7*'DNA Loop Engine'!$B$5/100+K7*'DNA Loop Engine'!$B$5/100)</f>
        <v>588600</v>
      </c>
      <c r="J7" s="129">
        <v>7.0000000000000001E-3</v>
      </c>
      <c r="K7" s="129">
        <v>0.95</v>
      </c>
      <c r="L7" s="129" t="str">
        <f>IF(I7/H7&gt;0.8,"🟢 Abundant",IF(I7/H7&gt;0.5,"🟡 Moderate",IF(I7/H7&gt;0.2,"🟠 Scarce","🔴 Depleted")))</f>
        <v>🟢 Abundant</v>
      </c>
    </row>
    <row r="8" spans="1:12">
      <c r="A8" s="130" t="s">
        <v>3341</v>
      </c>
      <c r="B8" s="130" t="s">
        <v>2124</v>
      </c>
      <c r="C8" s="130" t="s">
        <v>2149</v>
      </c>
      <c r="D8" s="130" t="s">
        <v>3342</v>
      </c>
      <c r="E8" s="130" t="s">
        <v>3343</v>
      </c>
      <c r="F8" s="130" t="s">
        <v>3344</v>
      </c>
      <c r="G8" s="130" t="s">
        <v>2487</v>
      </c>
      <c r="H8" s="130">
        <v>800000</v>
      </c>
      <c r="I8" s="130">
        <f>H8*(1-J8*'DNA Loop Engine'!$B$5/100+K8*'DNA Loop Engine'!$B$5/100)</f>
        <v>792400</v>
      </c>
      <c r="J8" s="130">
        <v>0.02</v>
      </c>
      <c r="K8" s="130">
        <v>1E-3</v>
      </c>
      <c r="L8" s="130" t="str">
        <f>IF(I8/H8&gt;0.8,"🟢 Abundant",IF(I8/H8&gt;0.5,"🟡 Moderate",IF(I8/H8&gt;0.2,"🟠 Scarce","🔴 Depleted")))</f>
        <v>🟢 Abundant</v>
      </c>
    </row>
    <row r="9" spans="1:12">
      <c r="A9" s="225" t="s">
        <v>3345</v>
      </c>
      <c r="B9" s="225" t="s">
        <v>2973</v>
      </c>
      <c r="C9" s="225" t="s">
        <v>2154</v>
      </c>
      <c r="D9" s="225" t="s">
        <v>3346</v>
      </c>
      <c r="E9" s="225" t="s">
        <v>3333</v>
      </c>
      <c r="F9" s="225" t="s">
        <v>3347</v>
      </c>
      <c r="G9" s="225" t="s">
        <v>2490</v>
      </c>
      <c r="H9" s="225">
        <v>600000</v>
      </c>
      <c r="I9" s="225">
        <f>H9*(1-J9*'DNA Loop Engine'!$B$5/100+K9*'DNA Loop Engine'!$B$5/100)</f>
        <v>805500</v>
      </c>
      <c r="J9" s="225">
        <v>1.4999999999999999E-2</v>
      </c>
      <c r="K9" s="225">
        <v>0.7</v>
      </c>
      <c r="L9" s="225" t="str">
        <f>IF(I9/H9&gt;0.8,"🟢 Abundant",IF(I9/H9&gt;0.5,"🟡 Moderate",IF(I9/H9&gt;0.2,"🟠 Scarce","🔴 Depleted")))</f>
        <v>🟢 Abundant</v>
      </c>
    </row>
    <row r="10" spans="1:12">
      <c r="A10" s="131" t="s">
        <v>3348</v>
      </c>
      <c r="B10" s="131" t="s">
        <v>785</v>
      </c>
      <c r="C10" s="131" t="s">
        <v>2162</v>
      </c>
      <c r="D10" s="131" t="s">
        <v>3349</v>
      </c>
      <c r="E10" s="131" t="s">
        <v>3333</v>
      </c>
      <c r="F10" s="131" t="s">
        <v>3350</v>
      </c>
      <c r="G10" s="131" t="s">
        <v>3309</v>
      </c>
      <c r="H10" s="131">
        <v>2000000</v>
      </c>
      <c r="I10" s="131">
        <f>H10*(1-J10*'DNA Loop Engine'!$B$5/100+K10*'DNA Loop Engine'!$B$5/100)</f>
        <v>2969999.9999999995</v>
      </c>
      <c r="J10" s="131">
        <v>0.01</v>
      </c>
      <c r="K10" s="131">
        <v>0.98</v>
      </c>
      <c r="L10" s="131" t="str">
        <f>IF(I10/H10&gt;0.8,"🟢 Abundant",IF(I10/H10&gt;0.5,"🟡 Moderate",IF(I10/H10&gt;0.2,"🟠 Scarce","🔴 Depleted")))</f>
        <v>🟢 Abundant</v>
      </c>
    </row>
    <row r="11" spans="1:12">
      <c r="A11" s="131" t="s">
        <v>3351</v>
      </c>
      <c r="B11" s="131" t="s">
        <v>785</v>
      </c>
      <c r="C11" s="131" t="s">
        <v>2168</v>
      </c>
      <c r="D11" s="131" t="s">
        <v>3352</v>
      </c>
      <c r="E11" s="131" t="s">
        <v>3333</v>
      </c>
      <c r="F11" s="131" t="s">
        <v>3353</v>
      </c>
      <c r="G11" s="131" t="s">
        <v>3309</v>
      </c>
      <c r="H11" s="131">
        <v>1500000</v>
      </c>
      <c r="I11" s="131">
        <f>H11*(1-J11*'DNA Loop Engine'!$B$5/100+K11*'DNA Loop Engine'!$B$5/100)</f>
        <v>2238750.0000000005</v>
      </c>
      <c r="J11" s="131">
        <v>5.0000000000000001E-3</v>
      </c>
      <c r="K11" s="131">
        <v>0.99</v>
      </c>
      <c r="L11" s="131" t="str">
        <f>IF(I11/H11&gt;0.8,"🟢 Abundant",IF(I11/H11&gt;0.5,"🟡 Moderate",IF(I11/H11&gt;0.2,"🟠 Scarce","🔴 Depleted")))</f>
        <v>🟢 Abundant</v>
      </c>
    </row>
    <row r="12" spans="1:12">
      <c r="A12" s="226" t="s">
        <v>3354</v>
      </c>
      <c r="B12" s="226" t="s">
        <v>2200</v>
      </c>
      <c r="C12" s="226" t="s">
        <v>2149</v>
      </c>
      <c r="D12" s="226" t="s">
        <v>3355</v>
      </c>
      <c r="E12" s="226" t="s">
        <v>3343</v>
      </c>
      <c r="F12" s="226" t="s">
        <v>3356</v>
      </c>
      <c r="G12" s="226" t="s">
        <v>2487</v>
      </c>
      <c r="H12" s="226">
        <v>500000</v>
      </c>
      <c r="I12" s="226">
        <f>H12*(1-J12*'DNA Loop Engine'!$B$5/100+K12*'DNA Loop Engine'!$B$5/100)</f>
        <v>492525</v>
      </c>
      <c r="J12" s="226">
        <v>0.03</v>
      </c>
      <c r="K12" s="226">
        <v>1E-4</v>
      </c>
      <c r="L12" s="226" t="str">
        <f>IF(I12/H12&gt;0.8,"🟢 Abundant",IF(I12/H12&gt;0.5,"🟡 Moderate",IF(I12/H12&gt;0.2,"🟠 Scarce","🔴 Depleted")))</f>
        <v>🟢 Abundant</v>
      </c>
    </row>
    <row r="13" spans="1:12">
      <c r="A13" s="226" t="s">
        <v>3357</v>
      </c>
      <c r="B13" s="226" t="s">
        <v>2200</v>
      </c>
      <c r="C13" s="226" t="s">
        <v>2126</v>
      </c>
      <c r="D13" s="226" t="s">
        <v>3358</v>
      </c>
      <c r="E13" s="226" t="s">
        <v>3343</v>
      </c>
      <c r="F13" s="226" t="s">
        <v>3359</v>
      </c>
      <c r="G13" s="226" t="s">
        <v>3360</v>
      </c>
      <c r="H13" s="226">
        <v>100000</v>
      </c>
      <c r="I13" s="226">
        <f>H13*(1-J13*'DNA Loop Engine'!$B$5/100+K13*'DNA Loop Engine'!$B$5/100)</f>
        <v>99950.500000000015</v>
      </c>
      <c r="J13" s="226">
        <v>1E-3</v>
      </c>
      <c r="K13" s="226">
        <v>1.0000000000000001E-5</v>
      </c>
      <c r="L13" s="226" t="str">
        <f>IF(I13/H13&gt;0.8,"🟢 Abundant",IF(I13/H13&gt;0.5,"🟡 Moderate",IF(I13/H13&gt;0.2,"🟠 Scarce","🔴 Depleted")))</f>
        <v>🟢 Abundant</v>
      </c>
    </row>
    <row r="16" spans="1:12" ht="18.75">
      <c r="A16" s="227" t="s">
        <v>3361</v>
      </c>
      <c r="B16" s="321"/>
      <c r="C16" s="321"/>
      <c r="D16" s="321"/>
      <c r="E16" s="321"/>
      <c r="F16" s="321"/>
      <c r="G16" s="321"/>
      <c r="H16" s="321"/>
      <c r="I16" s="321"/>
      <c r="J16" s="321"/>
      <c r="K16" s="321"/>
      <c r="L16" s="321"/>
    </row>
    <row r="18" spans="1:12">
      <c r="A18" s="228" t="s">
        <v>591</v>
      </c>
      <c r="B18" s="228" t="s">
        <v>592</v>
      </c>
      <c r="C18" s="228" t="s">
        <v>593</v>
      </c>
      <c r="D18" s="228" t="s">
        <v>562</v>
      </c>
      <c r="F18" s="135" t="s">
        <v>3362</v>
      </c>
      <c r="G18" s="135" t="s">
        <v>592</v>
      </c>
      <c r="H18" s="135" t="s">
        <v>593</v>
      </c>
    </row>
    <row r="19" spans="1:12">
      <c r="A19" t="s">
        <v>563</v>
      </c>
      <c r="B19">
        <f>'DNA Loop Engine'!B5</f>
        <v>50</v>
      </c>
      <c r="C19" t="s">
        <v>668</v>
      </c>
      <c r="F19" t="s">
        <v>3363</v>
      </c>
      <c r="G19" s="230">
        <f>SUMIF($B$4:$B$13,"Energy",$I$4:$I$13)</f>
        <v>3808625.5</v>
      </c>
      <c r="H19" t="s">
        <v>3364</v>
      </c>
    </row>
    <row r="20" spans="1:12">
      <c r="A20" t="s">
        <v>579</v>
      </c>
      <c r="B20" s="6">
        <f>'DNA Loop Engine'!B18</f>
        <v>1</v>
      </c>
      <c r="F20" t="s">
        <v>3365</v>
      </c>
      <c r="G20" s="230">
        <f>SUMIF($B$4:$B$13,"Material",$I$4:$I$13)+SUMIF($B$4:$B$13,"Biological",$I$4:$I$13)</f>
        <v>1597900</v>
      </c>
      <c r="H20" t="s">
        <v>3364</v>
      </c>
    </row>
    <row r="21" spans="1:12">
      <c r="F21" t="s">
        <v>3366</v>
      </c>
      <c r="G21" s="230">
        <f>SUMIF($B$4:$B$13,"Fluid",$I$4:$I$13)</f>
        <v>5208750</v>
      </c>
      <c r="H21" t="s">
        <v>3364</v>
      </c>
    </row>
    <row r="22" spans="1:12">
      <c r="A22" s="229" t="s">
        <v>3367</v>
      </c>
      <c r="B22" s="229"/>
      <c r="C22" s="229"/>
      <c r="D22" s="229"/>
      <c r="F22" t="s">
        <v>3368</v>
      </c>
      <c r="G22">
        <f>ROUND(SUMIF($E$4:$E$13,"Yes",$I$4:$I$13)/SUM($I$4:$I$13)*100,1)</f>
        <v>87</v>
      </c>
      <c r="H22" t="s">
        <v>653</v>
      </c>
    </row>
    <row r="23" spans="1:12">
      <c r="A23" t="s">
        <v>3369</v>
      </c>
      <c r="B23" s="230">
        <f>I4</f>
        <v>1495000</v>
      </c>
      <c r="C23" t="s">
        <v>3364</v>
      </c>
      <c r="D23" t="str">
        <f>L4</f>
        <v>🟢 Abundant</v>
      </c>
      <c r="F23" t="s">
        <v>3370</v>
      </c>
      <c r="G23">
        <f>ROUND(SUMIF($E$4:$E$13,"No",$I$4:$I$13)/SUM($I$4:$I$13)*100,1)</f>
        <v>13</v>
      </c>
      <c r="H23" t="s">
        <v>653</v>
      </c>
    </row>
    <row r="24" spans="1:12">
      <c r="A24" t="s">
        <v>3371</v>
      </c>
      <c r="B24" s="230">
        <f>I5</f>
        <v>698750</v>
      </c>
      <c r="C24" t="s">
        <v>3364</v>
      </c>
      <c r="D24" t="str">
        <f>L5</f>
        <v>🟢 Abundant</v>
      </c>
    </row>
    <row r="25" spans="1:12">
      <c r="A25" t="s">
        <v>3372</v>
      </c>
      <c r="B25" s="230">
        <f>I6</f>
        <v>433800</v>
      </c>
      <c r="C25" t="s">
        <v>3364</v>
      </c>
      <c r="D25" t="str">
        <f>L6</f>
        <v>🟢 Abundant</v>
      </c>
      <c r="F25" s="200" t="s">
        <v>3373</v>
      </c>
      <c r="G25" s="200"/>
      <c r="H25" s="200"/>
    </row>
    <row r="26" spans="1:12">
      <c r="A26" t="s">
        <v>3374</v>
      </c>
      <c r="B26" s="230">
        <f>I7</f>
        <v>588600</v>
      </c>
      <c r="C26" t="s">
        <v>3364</v>
      </c>
      <c r="D26" t="str">
        <f>L7</f>
        <v>🟢 Abundant</v>
      </c>
      <c r="F26" t="s">
        <v>3375</v>
      </c>
      <c r="G26" s="230" cm="1">
        <f t="array" ref="G26">SUMPRODUCT(($E$4:$E$13="Yes")*($K$4:$K$13)*($H$4:$H$13))</f>
        <v>5915000</v>
      </c>
      <c r="H26" t="s">
        <v>3376</v>
      </c>
    </row>
    <row r="27" spans="1:12">
      <c r="A27" t="s">
        <v>3377</v>
      </c>
      <c r="B27" s="230">
        <f>I12</f>
        <v>492525</v>
      </c>
      <c r="C27" t="s">
        <v>3364</v>
      </c>
      <c r="D27" t="str">
        <f>L12</f>
        <v>🟢 Abundant</v>
      </c>
      <c r="F27" t="s">
        <v>3378</v>
      </c>
      <c r="G27" s="230">
        <f>SUMPRODUCT($J$4:$J$13,$H$4:$H$13)*'DNA Loop Engine'!B18</f>
        <v>85300</v>
      </c>
      <c r="H27" t="s">
        <v>3376</v>
      </c>
    </row>
    <row r="28" spans="1:12">
      <c r="A28" t="s">
        <v>3379</v>
      </c>
      <c r="B28" s="230">
        <f>I13</f>
        <v>99950.500000000015</v>
      </c>
      <c r="C28" t="s">
        <v>3364</v>
      </c>
      <c r="D28" t="str">
        <f>L13</f>
        <v>🟢 Abundant</v>
      </c>
      <c r="F28" t="s">
        <v>3380</v>
      </c>
      <c r="G28" s="230">
        <f>G26-G27</f>
        <v>5829700</v>
      </c>
      <c r="H28" t="s">
        <v>3376</v>
      </c>
    </row>
    <row r="29" spans="1:12">
      <c r="F29" t="s">
        <v>3381</v>
      </c>
      <c r="G29" t="str">
        <f>IF(G28&gt;100000,"🟢 SURPLUS",IF(G28&gt;0,"🟡 BALANCED","🔴 DEFICIT"))</f>
        <v>🟢 SURPLUS</v>
      </c>
    </row>
    <row r="32" spans="1:12" ht="15.75">
      <c r="A32" s="379" t="s">
        <v>3062</v>
      </c>
      <c r="B32" s="379"/>
      <c r="C32" s="379"/>
      <c r="D32" s="379"/>
      <c r="E32" s="379"/>
      <c r="F32" s="380"/>
      <c r="G32" s="379"/>
      <c r="H32" s="379"/>
      <c r="I32" s="379"/>
      <c r="J32" s="379"/>
      <c r="K32" s="379"/>
      <c r="L32" s="379"/>
    </row>
    <row r="34" spans="1:8">
      <c r="A34" s="133" t="s">
        <v>955</v>
      </c>
      <c r="B34" s="133" t="s">
        <v>2721</v>
      </c>
      <c r="C34" s="133" t="s">
        <v>598</v>
      </c>
      <c r="D34" s="133" t="s">
        <v>562</v>
      </c>
      <c r="F34" s="137" t="s">
        <v>669</v>
      </c>
      <c r="G34" s="137" t="s">
        <v>592</v>
      </c>
      <c r="H34" s="137"/>
    </row>
    <row r="35" spans="1:8">
      <c r="A35" t="s">
        <v>833</v>
      </c>
      <c r="B35" t="s">
        <v>3292</v>
      </c>
      <c r="C35" t="s">
        <v>3066</v>
      </c>
      <c r="D35" t="s">
        <v>1521</v>
      </c>
      <c r="F35" t="s">
        <v>3382</v>
      </c>
      <c r="G35">
        <f>COUNTA(A4:A13)</f>
        <v>10</v>
      </c>
    </row>
    <row r="36" spans="1:8">
      <c r="A36" t="s">
        <v>3078</v>
      </c>
      <c r="B36" t="s">
        <v>3207</v>
      </c>
      <c r="C36" t="s">
        <v>3074</v>
      </c>
      <c r="D36" t="s">
        <v>1521</v>
      </c>
      <c r="F36" t="s">
        <v>3383</v>
      </c>
      <c r="G36">
        <f>COUNTIF($E$4:$E$13,"Yes")</f>
        <v>7</v>
      </c>
    </row>
    <row r="37" spans="1:8">
      <c r="A37" t="s">
        <v>2754</v>
      </c>
      <c r="B37" t="s">
        <v>3384</v>
      </c>
      <c r="C37" t="s">
        <v>3066</v>
      </c>
      <c r="D37" t="s">
        <v>1521</v>
      </c>
      <c r="F37" t="s">
        <v>3385</v>
      </c>
      <c r="G37">
        <f>COUNTIF($E$4:$E$13,"No")</f>
        <v>3</v>
      </c>
    </row>
    <row r="38" spans="1:8">
      <c r="A38" t="s">
        <v>2927</v>
      </c>
      <c r="B38" t="s">
        <v>3386</v>
      </c>
      <c r="C38" t="s">
        <v>3074</v>
      </c>
      <c r="D38" t="s">
        <v>1521</v>
      </c>
      <c r="F38" t="s">
        <v>3387</v>
      </c>
      <c r="G38" t="str">
        <f>ROUND(AVERAGE($J$4:$J$13)*100,2)&amp;"%"</f>
        <v>1.11%</v>
      </c>
    </row>
    <row r="39" spans="1:8">
      <c r="A39" t="s">
        <v>3072</v>
      </c>
      <c r="B39" t="s">
        <v>3388</v>
      </c>
      <c r="C39" t="s">
        <v>3080</v>
      </c>
      <c r="D39" t="s">
        <v>1521</v>
      </c>
      <c r="F39" t="s">
        <v>3389</v>
      </c>
      <c r="G39" t="str">
        <f>IF(AVERAGE($I$4:$I$13)/AVERAGE($H$4:$H$13)&gt;0.9,"🟢 EXCELLENT",IF(AVERAGE($I$4:$I$13)/AVERAGE($H$4:$H$13)&gt;0.7,"🟡 GOOD","🟠 STRESSED"))</f>
        <v>🟢 EXCELLENT</v>
      </c>
    </row>
  </sheetData>
  <mergeCells count="3">
    <mergeCell ref="A1:L1"/>
    <mergeCell ref="A16:L16"/>
    <mergeCell ref="A32:L3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D180-2F46-45F5-9599-613F27D92915}">
  <dimension ref="A1:R4"/>
  <sheetViews>
    <sheetView workbookViewId="0"/>
  </sheetViews>
  <sheetFormatPr defaultRowHeight="15"/>
  <sheetData>
    <row r="1" spans="1:18">
      <c r="A1" s="321"/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</row>
    <row r="4" spans="1:18">
      <c r="B4">
        <f>'DNA Loop Engine'!B5</f>
        <v>50</v>
      </c>
    </row>
  </sheetData>
  <mergeCells count="1">
    <mergeCell ref="A1:R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29BF-3E11-4ACC-B993-F2761A79A3EA}">
  <dimension ref="A1:L60"/>
  <sheetViews>
    <sheetView workbookViewId="0"/>
  </sheetViews>
  <sheetFormatPr defaultRowHeight="15"/>
  <cols>
    <col min="1" max="1" width="30.42578125" customWidth="1"/>
    <col min="2" max="12" width="17.140625" customWidth="1"/>
  </cols>
  <sheetData>
    <row r="1" spans="1:12" ht="21">
      <c r="A1" s="242" t="s">
        <v>3390</v>
      </c>
    </row>
    <row r="3" spans="1:12">
      <c r="A3" s="1" t="s">
        <v>559</v>
      </c>
    </row>
    <row r="4" spans="1:12">
      <c r="A4" s="1" t="s">
        <v>591</v>
      </c>
      <c r="B4" s="1">
        <f>'DNA Loop Engine'!B5</f>
        <v>50</v>
      </c>
      <c r="C4" s="1" t="s">
        <v>718</v>
      </c>
    </row>
    <row r="5" spans="1:12">
      <c r="A5" t="s">
        <v>563</v>
      </c>
      <c r="B5">
        <f>'DNA Loop Engine'!B5</f>
        <v>50</v>
      </c>
      <c r="C5" t="s">
        <v>2456</v>
      </c>
    </row>
    <row r="6" spans="1:12">
      <c r="A6" t="s">
        <v>581</v>
      </c>
      <c r="B6" s="6">
        <f>'DNA Loop Engine'!B19</f>
        <v>1</v>
      </c>
      <c r="C6" t="s">
        <v>2456</v>
      </c>
    </row>
    <row r="7" spans="1:12">
      <c r="A7" t="s">
        <v>1253</v>
      </c>
      <c r="B7">
        <v>0.1</v>
      </c>
      <c r="C7" t="s">
        <v>3391</v>
      </c>
    </row>
    <row r="8" spans="1:12">
      <c r="A8" t="s">
        <v>3392</v>
      </c>
      <c r="B8">
        <v>0.05</v>
      </c>
      <c r="C8" t="s">
        <v>3393</v>
      </c>
    </row>
    <row r="9" spans="1:12">
      <c r="A9" t="s">
        <v>3394</v>
      </c>
      <c r="B9">
        <v>0.02</v>
      </c>
      <c r="C9" t="s">
        <v>3395</v>
      </c>
    </row>
    <row r="11" spans="1:12">
      <c r="A11" s="1" t="s">
        <v>3396</v>
      </c>
    </row>
    <row r="12" spans="1:12">
      <c r="A12" s="205" t="s">
        <v>41</v>
      </c>
      <c r="B12" s="205" t="s">
        <v>1150</v>
      </c>
      <c r="C12" s="205" t="s">
        <v>3397</v>
      </c>
      <c r="D12" s="205" t="s">
        <v>3398</v>
      </c>
      <c r="E12" s="205" t="s">
        <v>3399</v>
      </c>
      <c r="F12" s="205" t="s">
        <v>3400</v>
      </c>
      <c r="G12" s="205" t="s">
        <v>3401</v>
      </c>
      <c r="H12" s="205" t="s">
        <v>455</v>
      </c>
      <c r="I12" s="205" t="s">
        <v>562</v>
      </c>
      <c r="J12" s="205" t="s">
        <v>3402</v>
      </c>
      <c r="K12" s="205" t="s">
        <v>3403</v>
      </c>
      <c r="L12" s="205" t="s">
        <v>47</v>
      </c>
    </row>
    <row r="13" spans="1:12">
      <c r="A13" t="s">
        <v>3404</v>
      </c>
      <c r="B13" t="s">
        <v>3405</v>
      </c>
      <c r="C13" t="s">
        <v>3406</v>
      </c>
      <c r="D13" t="s">
        <v>3407</v>
      </c>
      <c r="E13">
        <v>20</v>
      </c>
      <c r="F13">
        <v>36</v>
      </c>
      <c r="G13">
        <f>$B$5</f>
        <v>50</v>
      </c>
      <c r="H13" s="11">
        <f>IF(G13&lt;E13,0,IF(G13&gt;=F13,1,(G13-E13)/(F13-E13)))</f>
        <v>1</v>
      </c>
      <c r="I13" t="str">
        <f>IF(G13&lt;E13,"⏳ Dormant",IF(G13&gt;=F13,"✅ Mature","🔄 Developing"))</f>
        <v>✅ Mature</v>
      </c>
      <c r="J13" t="s">
        <v>3408</v>
      </c>
      <c r="K13" t="s">
        <v>3409</v>
      </c>
      <c r="L13" t="s">
        <v>1798</v>
      </c>
    </row>
    <row r="14" spans="1:12">
      <c r="A14" t="s">
        <v>3410</v>
      </c>
      <c r="B14" t="s">
        <v>3411</v>
      </c>
      <c r="C14" t="s">
        <v>3412</v>
      </c>
      <c r="D14" t="s">
        <v>3413</v>
      </c>
      <c r="E14">
        <v>20</v>
      </c>
      <c r="F14">
        <v>36</v>
      </c>
      <c r="G14">
        <f>$B$5</f>
        <v>50</v>
      </c>
      <c r="H14" s="11">
        <f>IF(G14&lt;E14,0,IF(G14&gt;=F14,1,(G14-E14)/(F14-E14)))</f>
        <v>1</v>
      </c>
      <c r="I14" t="str">
        <f>IF(G14&lt;E14,"⏳ Dormant",IF(G14&gt;=F14,"✅ Mature","🔄 Developing"))</f>
        <v>✅ Mature</v>
      </c>
      <c r="J14" t="s">
        <v>888</v>
      </c>
      <c r="K14" t="s">
        <v>3409</v>
      </c>
      <c r="L14" t="s">
        <v>1798</v>
      </c>
    </row>
    <row r="15" spans="1:12">
      <c r="A15" t="s">
        <v>3414</v>
      </c>
      <c r="B15" t="s">
        <v>3415</v>
      </c>
      <c r="C15" t="s">
        <v>3416</v>
      </c>
      <c r="D15" t="s">
        <v>3417</v>
      </c>
      <c r="E15">
        <v>20</v>
      </c>
      <c r="F15">
        <v>36</v>
      </c>
      <c r="G15">
        <f>$B$5</f>
        <v>50</v>
      </c>
      <c r="H15" s="11">
        <f>IF(G15&lt;E15,0,IF(G15&gt;=F15,1,(G15-E15)/(F15-E15)))</f>
        <v>1</v>
      </c>
      <c r="I15" t="str">
        <f>IF(G15&lt;E15,"⏳ Dormant",IF(G15&gt;=F15,"✅ Mature","🔄 Developing"))</f>
        <v>✅ Mature</v>
      </c>
      <c r="J15" t="s">
        <v>926</v>
      </c>
      <c r="K15" t="s">
        <v>3409</v>
      </c>
      <c r="L15" t="s">
        <v>1798</v>
      </c>
    </row>
    <row r="16" spans="1:12">
      <c r="A16" t="s">
        <v>3418</v>
      </c>
      <c r="B16" t="s">
        <v>3419</v>
      </c>
      <c r="C16" t="s">
        <v>3420</v>
      </c>
      <c r="D16" t="s">
        <v>3421</v>
      </c>
      <c r="E16">
        <v>36</v>
      </c>
      <c r="F16">
        <v>60</v>
      </c>
      <c r="G16">
        <f>$B$5</f>
        <v>50</v>
      </c>
      <c r="H16" s="11">
        <f>IF(G16&lt;E16,0,IF(G16&gt;=F16,1,(G16-E16)/(F16-E16)))</f>
        <v>0.58333333333333337</v>
      </c>
      <c r="I16" t="str">
        <f>IF(G16&lt;E16,"⏳ Dormant",IF(G16&gt;=F16,"✅ Mature","🔄 Developing"))</f>
        <v>🔄 Developing</v>
      </c>
      <c r="J16" t="s">
        <v>3422</v>
      </c>
      <c r="K16" t="s">
        <v>3423</v>
      </c>
      <c r="L16" t="s">
        <v>1553</v>
      </c>
    </row>
    <row r="17" spans="1:12">
      <c r="A17" t="s">
        <v>3424</v>
      </c>
      <c r="B17" t="s">
        <v>3425</v>
      </c>
      <c r="C17" t="s">
        <v>3426</v>
      </c>
      <c r="D17" t="s">
        <v>3427</v>
      </c>
      <c r="E17">
        <v>36</v>
      </c>
      <c r="F17">
        <v>60</v>
      </c>
      <c r="G17">
        <f>$B$5</f>
        <v>50</v>
      </c>
      <c r="H17" s="11">
        <f>IF(G17&lt;E17,0,IF(G17&gt;=F17,1,(G17-E17)/(F17-E17)))</f>
        <v>0.58333333333333337</v>
      </c>
      <c r="I17" t="str">
        <f>IF(G17&lt;E17,"⏳ Dormant",IF(G17&gt;=F17,"✅ Mature","🔄 Developing"))</f>
        <v>🔄 Developing</v>
      </c>
      <c r="J17" t="s">
        <v>3428</v>
      </c>
      <c r="K17" t="s">
        <v>3423</v>
      </c>
      <c r="L17" t="s">
        <v>1776</v>
      </c>
    </row>
    <row r="18" spans="1:12">
      <c r="A18" t="s">
        <v>3429</v>
      </c>
      <c r="B18" t="s">
        <v>3430</v>
      </c>
      <c r="C18" t="s">
        <v>3431</v>
      </c>
      <c r="D18" t="s">
        <v>3427</v>
      </c>
      <c r="E18">
        <v>36</v>
      </c>
      <c r="F18">
        <v>60</v>
      </c>
      <c r="G18">
        <f>$B$5</f>
        <v>50</v>
      </c>
      <c r="H18" s="11">
        <f>IF(G18&lt;E18,0,IF(G18&gt;=F18,1,(G18-E18)/(F18-E18)))</f>
        <v>0.58333333333333337</v>
      </c>
      <c r="I18" t="str">
        <f>IF(G18&lt;E18,"⏳ Dormant",IF(G18&gt;=F18,"✅ Mature","🔄 Developing"))</f>
        <v>🔄 Developing</v>
      </c>
      <c r="J18" t="s">
        <v>888</v>
      </c>
      <c r="K18" t="s">
        <v>3423</v>
      </c>
      <c r="L18" t="s">
        <v>3432</v>
      </c>
    </row>
    <row r="19" spans="1:12">
      <c r="A19" t="s">
        <v>3433</v>
      </c>
      <c r="B19" t="s">
        <v>3434</v>
      </c>
      <c r="C19" t="s">
        <v>3435</v>
      </c>
      <c r="D19" t="s">
        <v>3093</v>
      </c>
      <c r="E19">
        <v>40</v>
      </c>
      <c r="F19">
        <v>70</v>
      </c>
      <c r="G19">
        <f>$B$5</f>
        <v>50</v>
      </c>
      <c r="H19" s="11">
        <f>IF(G19&lt;E19,0,IF(G19&gt;=F19,1,(G19-E19)/(F19-E19)))</f>
        <v>0.33333333333333331</v>
      </c>
      <c r="I19" t="str">
        <f>IF(G19&lt;E19,"⏳ Dormant",IF(G19&gt;=F19,"✅ Mature","🔄 Developing"))</f>
        <v>🔄 Developing</v>
      </c>
      <c r="J19" t="s">
        <v>3436</v>
      </c>
      <c r="K19" t="s">
        <v>2158</v>
      </c>
      <c r="L19" t="s">
        <v>3434</v>
      </c>
    </row>
    <row r="20" spans="1:12">
      <c r="A20" t="s">
        <v>3437</v>
      </c>
      <c r="B20" t="s">
        <v>3438</v>
      </c>
      <c r="C20" t="s">
        <v>3439</v>
      </c>
      <c r="D20" t="s">
        <v>3440</v>
      </c>
      <c r="E20">
        <v>40</v>
      </c>
      <c r="F20">
        <v>70</v>
      </c>
      <c r="G20">
        <f>$B$5</f>
        <v>50</v>
      </c>
      <c r="H20" s="11">
        <f>IF(G20&lt;E20,0,IF(G20&gt;=F20,1,(G20-E20)/(F20-E20)))</f>
        <v>0.33333333333333331</v>
      </c>
      <c r="I20" t="str">
        <f>IF(G20&lt;E20,"⏳ Dormant",IF(G20&gt;=F20,"✅ Mature","🔄 Developing"))</f>
        <v>🔄 Developing</v>
      </c>
      <c r="J20" t="s">
        <v>3441</v>
      </c>
      <c r="K20" t="s">
        <v>2490</v>
      </c>
      <c r="L20" t="s">
        <v>3438</v>
      </c>
    </row>
    <row r="21" spans="1:12">
      <c r="A21" t="s">
        <v>3442</v>
      </c>
      <c r="B21" t="s">
        <v>3443</v>
      </c>
      <c r="C21" t="s">
        <v>3406</v>
      </c>
      <c r="D21" t="s">
        <v>3444</v>
      </c>
      <c r="E21">
        <v>36</v>
      </c>
      <c r="F21">
        <v>70</v>
      </c>
      <c r="G21">
        <f>$B$5</f>
        <v>50</v>
      </c>
      <c r="H21" s="11">
        <f>IF(G21&lt;E21,0,IF(G21&gt;=F21,1,(G21-E21)/(F21-E21)))</f>
        <v>0.41176470588235292</v>
      </c>
      <c r="I21" t="str">
        <f>IF(G21&lt;E21,"⏳ Dormant",IF(G21&gt;=F21,"✅ Mature","🔄 Developing"))</f>
        <v>🔄 Developing</v>
      </c>
      <c r="J21" t="s">
        <v>3445</v>
      </c>
      <c r="K21" t="s">
        <v>1481</v>
      </c>
      <c r="L21" t="s">
        <v>3446</v>
      </c>
    </row>
    <row r="22" spans="1:12">
      <c r="A22" t="s">
        <v>3447</v>
      </c>
      <c r="B22" t="s">
        <v>3443</v>
      </c>
      <c r="C22" t="s">
        <v>3406</v>
      </c>
      <c r="D22" t="s">
        <v>3444</v>
      </c>
      <c r="E22">
        <v>36</v>
      </c>
      <c r="F22">
        <v>70</v>
      </c>
      <c r="G22">
        <f>$B$5</f>
        <v>50</v>
      </c>
      <c r="H22" s="11">
        <f>IF(G22&lt;E22,0,IF(G22&gt;=F22,1,(G22-E22)/(F22-E22)))</f>
        <v>0.41176470588235292</v>
      </c>
      <c r="I22" t="str">
        <f>IF(G22&lt;E22,"⏳ Dormant",IF(G22&gt;=F22,"✅ Mature","🔄 Developing"))</f>
        <v>🔄 Developing</v>
      </c>
      <c r="J22" t="s">
        <v>3448</v>
      </c>
      <c r="K22" t="s">
        <v>2490</v>
      </c>
      <c r="L22" t="s">
        <v>3449</v>
      </c>
    </row>
    <row r="23" spans="1:12">
      <c r="A23" t="s">
        <v>3450</v>
      </c>
      <c r="B23" t="s">
        <v>3443</v>
      </c>
      <c r="C23" t="s">
        <v>3406</v>
      </c>
      <c r="D23" t="s">
        <v>3444</v>
      </c>
      <c r="E23">
        <v>36</v>
      </c>
      <c r="F23">
        <v>70</v>
      </c>
      <c r="G23">
        <f>$B$5</f>
        <v>50</v>
      </c>
      <c r="H23" s="11">
        <f>IF(G23&lt;E23,0,IF(G23&gt;=F23,1,(G23-E23)/(F23-E23)))</f>
        <v>0.41176470588235292</v>
      </c>
      <c r="I23" t="str">
        <f>IF(G23&lt;E23,"⏳ Dormant",IF(G23&gt;=F23,"✅ Mature","🔄 Developing"))</f>
        <v>🔄 Developing</v>
      </c>
      <c r="J23" t="s">
        <v>1364</v>
      </c>
      <c r="K23" t="s">
        <v>3408</v>
      </c>
      <c r="L23" t="s">
        <v>3451</v>
      </c>
    </row>
    <row r="24" spans="1:12">
      <c r="A24" t="s">
        <v>3452</v>
      </c>
      <c r="B24" t="s">
        <v>3453</v>
      </c>
      <c r="C24" t="s">
        <v>3435</v>
      </c>
      <c r="D24" t="s">
        <v>2158</v>
      </c>
      <c r="E24">
        <v>40</v>
      </c>
      <c r="F24">
        <v>70</v>
      </c>
      <c r="G24">
        <f>$B$5</f>
        <v>50</v>
      </c>
      <c r="H24" s="11">
        <f>IF(G24&lt;E24,0,IF(G24&gt;=F24,1,(G24-E24)/(F24-E24)))</f>
        <v>0.33333333333333331</v>
      </c>
      <c r="I24" t="str">
        <f>IF(G24&lt;E24,"⏳ Dormant",IF(G24&gt;=F24,"✅ Mature","🔄 Developing"))</f>
        <v>🔄 Developing</v>
      </c>
      <c r="J24" t="s">
        <v>3454</v>
      </c>
      <c r="K24" t="s">
        <v>3455</v>
      </c>
      <c r="L24" t="s">
        <v>3456</v>
      </c>
    </row>
    <row r="26" spans="1:12">
      <c r="A26" s="1" t="s">
        <v>3457</v>
      </c>
    </row>
    <row r="27" spans="1:12">
      <c r="A27" s="1" t="s">
        <v>669</v>
      </c>
      <c r="B27" s="1" t="s">
        <v>592</v>
      </c>
      <c r="C27" s="1" t="s">
        <v>562</v>
      </c>
    </row>
    <row r="28" spans="1:12">
      <c r="A28" t="s">
        <v>3458</v>
      </c>
      <c r="B28">
        <f>COUNTA(A13:A24)</f>
        <v>12</v>
      </c>
      <c r="C28" t="str">
        <f>""</f>
        <v/>
      </c>
    </row>
    <row r="29" spans="1:12">
      <c r="A29" t="s">
        <v>3459</v>
      </c>
      <c r="B29">
        <f>COUNTIF(I13:I24,"✅ Mature")</f>
        <v>3</v>
      </c>
      <c r="C29" t="str">
        <f>""</f>
        <v/>
      </c>
    </row>
    <row r="30" spans="1:12">
      <c r="A30" t="s">
        <v>3460</v>
      </c>
      <c r="B30">
        <f>COUNTIF(I13:I24,"🔄 Developing")</f>
        <v>9</v>
      </c>
      <c r="C30" t="str">
        <f>""</f>
        <v/>
      </c>
    </row>
    <row r="31" spans="1:12">
      <c r="A31" t="s">
        <v>3461</v>
      </c>
      <c r="B31">
        <f>COUNTIF(I13:I24,"⏳ Dormant")</f>
        <v>0</v>
      </c>
      <c r="C31" t="str">
        <f>""</f>
        <v/>
      </c>
    </row>
    <row r="32" spans="1:12">
      <c r="A32" t="s">
        <v>847</v>
      </c>
      <c r="B32" s="11">
        <f>AVERAGE(H13:H24)</f>
        <v>0.58210784313725494</v>
      </c>
      <c r="C32" t="str">
        <f>IF(B32&gt;0.5,"🟢 STRONG",IF(B32&gt;0.25,"🟡 DEVELOPING","🔴 WEAK"))</f>
        <v>🟢 STRONG</v>
      </c>
    </row>
    <row r="33" spans="1:7">
      <c r="A33" t="s">
        <v>3462</v>
      </c>
      <c r="B33" s="6">
        <f>B6*B32</f>
        <v>0.58210784313725494</v>
      </c>
      <c r="C33" t="str">
        <f>""</f>
        <v/>
      </c>
    </row>
    <row r="34" spans="1:7">
      <c r="A34" t="s">
        <v>3463</v>
      </c>
      <c r="B34" t="str">
        <f>IF(B32&gt;0.7,"🟢 HIGH",IF(B32&gt;0.4,"🟡 MODERATE","🔴 LOW"))</f>
        <v>🟡 MODERATE</v>
      </c>
      <c r="C34" t="str">
        <f>""</f>
        <v/>
      </c>
    </row>
    <row r="36" spans="1:7" ht="15.75">
      <c r="A36" s="2" t="s">
        <v>3464</v>
      </c>
    </row>
    <row r="37" spans="1:7">
      <c r="A37" s="256" t="s">
        <v>3465</v>
      </c>
      <c r="B37" s="256" t="s">
        <v>1150</v>
      </c>
      <c r="C37" s="256" t="s">
        <v>1766</v>
      </c>
      <c r="D37" s="256" t="s">
        <v>1767</v>
      </c>
      <c r="E37" s="256" t="s">
        <v>2216</v>
      </c>
      <c r="F37" s="256" t="s">
        <v>47</v>
      </c>
      <c r="G37" s="256" t="s">
        <v>504</v>
      </c>
    </row>
    <row r="38" spans="1:7">
      <c r="A38" s="251" t="s">
        <v>3402</v>
      </c>
      <c r="B38" s="251" t="s">
        <v>3466</v>
      </c>
      <c r="C38" s="251" t="s">
        <v>1170</v>
      </c>
      <c r="D38" s="251" t="s">
        <v>3418</v>
      </c>
      <c r="E38" s="251" t="s">
        <v>3467</v>
      </c>
      <c r="F38" s="251" t="s">
        <v>1553</v>
      </c>
      <c r="G38" s="251" t="s">
        <v>3468</v>
      </c>
    </row>
    <row r="39" spans="1:7">
      <c r="A39" s="251" t="s">
        <v>3469</v>
      </c>
      <c r="B39" s="251" t="s">
        <v>3470</v>
      </c>
      <c r="C39" s="251" t="s">
        <v>3418</v>
      </c>
      <c r="D39" s="251" t="s">
        <v>2034</v>
      </c>
      <c r="E39" s="251" t="s">
        <v>3471</v>
      </c>
      <c r="F39" s="251" t="s">
        <v>1563</v>
      </c>
      <c r="G39" s="251" t="s">
        <v>3472</v>
      </c>
    </row>
    <row r="40" spans="1:7">
      <c r="A40" s="251" t="s">
        <v>3403</v>
      </c>
      <c r="B40" s="251" t="s">
        <v>880</v>
      </c>
      <c r="C40" s="251" t="s">
        <v>3473</v>
      </c>
      <c r="D40" s="251" t="s">
        <v>3474</v>
      </c>
      <c r="E40" s="251" t="s">
        <v>3475</v>
      </c>
      <c r="F40" s="251" t="s">
        <v>1553</v>
      </c>
      <c r="G40" s="251" t="s">
        <v>3476</v>
      </c>
    </row>
    <row r="41" spans="1:7">
      <c r="A41" s="251" t="s">
        <v>3477</v>
      </c>
      <c r="B41" s="251" t="s">
        <v>3478</v>
      </c>
      <c r="C41" s="251" t="s">
        <v>2034</v>
      </c>
      <c r="D41" s="251" t="s">
        <v>2034</v>
      </c>
      <c r="E41" s="251" t="s">
        <v>3479</v>
      </c>
      <c r="F41" s="251" t="s">
        <v>1563</v>
      </c>
      <c r="G41" s="251" t="s">
        <v>3480</v>
      </c>
    </row>
    <row r="42" spans="1:7">
      <c r="A42" s="251" t="s">
        <v>3481</v>
      </c>
      <c r="B42" s="251" t="s">
        <v>3482</v>
      </c>
      <c r="C42" s="251" t="s">
        <v>3473</v>
      </c>
      <c r="D42" s="251" t="s">
        <v>2127</v>
      </c>
      <c r="E42" s="251" t="s">
        <v>3483</v>
      </c>
      <c r="F42" s="251" t="s">
        <v>1553</v>
      </c>
      <c r="G42" s="251" t="s">
        <v>3484</v>
      </c>
    </row>
    <row r="43" spans="1:7">
      <c r="A43" s="251" t="s">
        <v>3485</v>
      </c>
      <c r="B43" s="251" t="s">
        <v>3486</v>
      </c>
      <c r="C43" s="251" t="s">
        <v>3418</v>
      </c>
      <c r="D43" s="251" t="s">
        <v>3418</v>
      </c>
      <c r="E43" s="251" t="s">
        <v>3487</v>
      </c>
      <c r="F43" s="251" t="s">
        <v>1553</v>
      </c>
      <c r="G43" s="251" t="s">
        <v>3488</v>
      </c>
    </row>
    <row r="44" spans="1:7">
      <c r="A44" s="251" t="s">
        <v>3489</v>
      </c>
      <c r="B44" s="251" t="s">
        <v>3490</v>
      </c>
      <c r="C44" s="251" t="s">
        <v>3447</v>
      </c>
      <c r="D44" s="251" t="s">
        <v>3474</v>
      </c>
      <c r="E44" s="251" t="s">
        <v>3491</v>
      </c>
      <c r="F44" s="251" t="s">
        <v>1553</v>
      </c>
      <c r="G44" s="251" t="s">
        <v>3492</v>
      </c>
    </row>
    <row r="45" spans="1:7">
      <c r="A45" s="251" t="s">
        <v>3493</v>
      </c>
      <c r="B45" s="251" t="s">
        <v>3494</v>
      </c>
      <c r="C45" s="251" t="s">
        <v>3442</v>
      </c>
      <c r="D45" s="251" t="s">
        <v>3474</v>
      </c>
      <c r="E45" s="251" t="s">
        <v>3495</v>
      </c>
      <c r="F45" s="251" t="s">
        <v>1563</v>
      </c>
      <c r="G45" s="251" t="s">
        <v>3496</v>
      </c>
    </row>
    <row r="48" spans="1:7" ht="15.75">
      <c r="A48" s="2" t="s">
        <v>3497</v>
      </c>
    </row>
    <row r="49" spans="1:5">
      <c r="A49" s="216" t="s">
        <v>3498</v>
      </c>
      <c r="B49" s="216" t="s">
        <v>3499</v>
      </c>
      <c r="C49" s="216" t="s">
        <v>3500</v>
      </c>
      <c r="D49" s="216" t="s">
        <v>3501</v>
      </c>
      <c r="E49" s="216" t="s">
        <v>504</v>
      </c>
    </row>
    <row r="50" spans="1:5">
      <c r="A50" s="250" t="s">
        <v>3447</v>
      </c>
      <c r="B50" s="250" t="s">
        <v>3333</v>
      </c>
      <c r="C50" s="250" t="s">
        <v>3502</v>
      </c>
      <c r="D50" s="250" t="s">
        <v>3503</v>
      </c>
      <c r="E50" s="250" t="s">
        <v>3504</v>
      </c>
    </row>
    <row r="51" spans="1:5">
      <c r="A51" s="250" t="s">
        <v>3442</v>
      </c>
      <c r="B51" s="250" t="s">
        <v>3505</v>
      </c>
      <c r="C51" s="250" t="s">
        <v>1829</v>
      </c>
      <c r="D51" s="250" t="s">
        <v>2127</v>
      </c>
      <c r="E51" s="250" t="s">
        <v>3506</v>
      </c>
    </row>
    <row r="52" spans="1:5">
      <c r="A52" s="250" t="s">
        <v>3450</v>
      </c>
      <c r="B52" s="250" t="s">
        <v>3333</v>
      </c>
      <c r="C52" s="250" t="s">
        <v>3507</v>
      </c>
      <c r="D52" s="250" t="s">
        <v>3505</v>
      </c>
      <c r="E52" s="250" t="s">
        <v>3508</v>
      </c>
    </row>
    <row r="53" spans="1:5">
      <c r="A53" s="250" t="s">
        <v>3509</v>
      </c>
      <c r="B53" s="250" t="s">
        <v>3343</v>
      </c>
      <c r="C53" s="250" t="s">
        <v>3510</v>
      </c>
      <c r="D53" s="250" t="s">
        <v>2127</v>
      </c>
      <c r="E53" s="250" t="s">
        <v>3511</v>
      </c>
    </row>
    <row r="54" spans="1:5">
      <c r="A54" s="250" t="s">
        <v>3418</v>
      </c>
      <c r="B54" s="250" t="s">
        <v>3343</v>
      </c>
      <c r="C54" s="250" t="s">
        <v>1779</v>
      </c>
      <c r="D54" s="250" t="s">
        <v>2127</v>
      </c>
      <c r="E54" s="250" t="s">
        <v>3512</v>
      </c>
    </row>
    <row r="55" spans="1:5">
      <c r="A55" s="250" t="s">
        <v>3452</v>
      </c>
      <c r="B55" s="250" t="s">
        <v>3505</v>
      </c>
      <c r="C55" s="250" t="s">
        <v>1826</v>
      </c>
      <c r="D55" s="250" t="s">
        <v>2127</v>
      </c>
      <c r="E55" s="250" t="s">
        <v>3513</v>
      </c>
    </row>
    <row r="57" spans="1:5">
      <c r="A57" s="1" t="s">
        <v>3514</v>
      </c>
    </row>
    <row r="58" spans="1:5">
      <c r="A58" s="61" t="s">
        <v>3515</v>
      </c>
      <c r="B58" s="61">
        <f>'NPC System'!B10</f>
        <v>8</v>
      </c>
      <c r="C58" s="61"/>
    </row>
    <row r="59" spans="1:5">
      <c r="A59" s="61" t="s">
        <v>3516</v>
      </c>
      <c r="B59" s="61">
        <f>COUNTIF('NPC System'!O15:O22,"Long-Term")</f>
        <v>4</v>
      </c>
      <c r="C59" s="61"/>
    </row>
    <row r="60" spans="1:5">
      <c r="A60" s="61" t="s">
        <v>3517</v>
      </c>
      <c r="B60" s="61">
        <f>COUNTIF('NPC System'!O15:O22,"Working")</f>
        <v>2</v>
      </c>
      <c r="C60" s="6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EACDE-AA38-4907-8834-E5E3CFB6A7E4}">
  <dimension ref="A1:K43"/>
  <sheetViews>
    <sheetView workbookViewId="0">
      <selection sqref="A1:XFD1048576"/>
    </sheetView>
  </sheetViews>
  <sheetFormatPr defaultRowHeight="15"/>
  <cols>
    <col min="1" max="1" width="35.28515625" customWidth="1"/>
    <col min="2" max="11" width="17.140625" customWidth="1"/>
  </cols>
  <sheetData>
    <row r="1" spans="1:11" ht="21">
      <c r="A1" s="243" t="s">
        <v>3518</v>
      </c>
    </row>
    <row r="3" spans="1:11">
      <c r="A3" s="1" t="s">
        <v>559</v>
      </c>
    </row>
    <row r="4" spans="1:11">
      <c r="A4" s="1" t="s">
        <v>591</v>
      </c>
      <c r="B4" s="1" t="s">
        <v>592</v>
      </c>
      <c r="C4" s="1" t="s">
        <v>718</v>
      </c>
    </row>
    <row r="5" spans="1:11">
      <c r="A5" t="s">
        <v>563</v>
      </c>
      <c r="B5">
        <f>'DNA Loop Engine'!B5</f>
        <v>50</v>
      </c>
      <c r="C5" t="s">
        <v>2456</v>
      </c>
    </row>
    <row r="6" spans="1:11">
      <c r="A6" t="s">
        <v>3519</v>
      </c>
      <c r="B6" t="str">
        <f>'Sex Random Math'!B23</f>
        <v>Genetic</v>
      </c>
      <c r="C6" t="s">
        <v>2919</v>
      </c>
    </row>
    <row r="7" spans="1:11">
      <c r="A7" t="s">
        <v>3520</v>
      </c>
      <c r="B7" t="str">
        <f>'Sex Random Math'!B22</f>
        <v>Endocrine</v>
      </c>
      <c r="C7" t="s">
        <v>2919</v>
      </c>
    </row>
    <row r="8" spans="1:11">
      <c r="A8" t="s">
        <v>3521</v>
      </c>
      <c r="B8" t="str">
        <f>'Sex Random Math'!B31</f>
        <v>Müllerian</v>
      </c>
      <c r="C8" t="s">
        <v>2919</v>
      </c>
    </row>
    <row r="9" spans="1:11">
      <c r="A9" t="s">
        <v>3522</v>
      </c>
      <c r="B9">
        <v>0.5</v>
      </c>
      <c r="C9" t="s">
        <v>1745</v>
      </c>
    </row>
    <row r="10" spans="1:11">
      <c r="A10" t="s">
        <v>3523</v>
      </c>
      <c r="B10">
        <v>0.5</v>
      </c>
      <c r="C10" t="s">
        <v>1745</v>
      </c>
    </row>
    <row r="11" spans="1:11">
      <c r="A11" t="s">
        <v>3524</v>
      </c>
      <c r="B11">
        <v>0.3</v>
      </c>
      <c r="C11" t="s">
        <v>1745</v>
      </c>
    </row>
    <row r="12" spans="1:11">
      <c r="A12" t="s">
        <v>3525</v>
      </c>
      <c r="B12">
        <v>0.2</v>
      </c>
      <c r="C12" t="s">
        <v>1745</v>
      </c>
    </row>
    <row r="14" spans="1:11">
      <c r="A14" s="1" t="s">
        <v>3526</v>
      </c>
    </row>
    <row r="15" spans="1:11">
      <c r="A15" s="174" t="s">
        <v>3527</v>
      </c>
      <c r="B15" s="174" t="s">
        <v>1806</v>
      </c>
      <c r="C15" s="174" t="s">
        <v>3528</v>
      </c>
      <c r="D15" s="174" t="s">
        <v>3529</v>
      </c>
      <c r="E15" s="174" t="s">
        <v>3530</v>
      </c>
      <c r="F15" s="174" t="s">
        <v>3399</v>
      </c>
      <c r="G15" s="174" t="s">
        <v>3400</v>
      </c>
      <c r="H15" s="174" t="s">
        <v>3401</v>
      </c>
      <c r="I15" s="174" t="s">
        <v>455</v>
      </c>
      <c r="J15" s="174" t="s">
        <v>3531</v>
      </c>
      <c r="K15" s="174" t="s">
        <v>562</v>
      </c>
    </row>
    <row r="16" spans="1:11">
      <c r="A16" t="s">
        <v>3532</v>
      </c>
      <c r="B16">
        <v>1</v>
      </c>
      <c r="C16" t="s">
        <v>2487</v>
      </c>
      <c r="D16" t="s">
        <v>3533</v>
      </c>
      <c r="E16" t="s">
        <v>3534</v>
      </c>
      <c r="F16">
        <v>36</v>
      </c>
      <c r="G16">
        <v>60</v>
      </c>
      <c r="H16">
        <f>$B$5</f>
        <v>50</v>
      </c>
      <c r="I16" s="11">
        <f>IF(H16&lt;F16,0,IF(H16&gt;=G16,1,(H16-F16)/(G16-F16)))</f>
        <v>0.58333333333333337</v>
      </c>
      <c r="J16" s="13">
        <f>I16*$B$9</f>
        <v>0.29166666666666669</v>
      </c>
      <c r="K16" t="str">
        <f>IF(H16&lt;F16,"⏳ Dormant",IF(H16&gt;=G16,"✅ Mature","🔄 Developing"))</f>
        <v>🔄 Developing</v>
      </c>
    </row>
    <row r="17" spans="1:11">
      <c r="A17" t="s">
        <v>3535</v>
      </c>
      <c r="B17">
        <v>-0.8</v>
      </c>
      <c r="C17" t="s">
        <v>2487</v>
      </c>
      <c r="D17" t="s">
        <v>3536</v>
      </c>
      <c r="E17" t="s">
        <v>3537</v>
      </c>
      <c r="F17">
        <v>20</v>
      </c>
      <c r="G17">
        <v>40</v>
      </c>
      <c r="H17">
        <f>$B$5</f>
        <v>50</v>
      </c>
      <c r="I17" s="11">
        <f>IF(H17&lt;F17,0,IF(H17&gt;=G17,1,(H17-F17)/(G17-F17)))</f>
        <v>1</v>
      </c>
      <c r="J17" s="13">
        <f>I17*$B$12</f>
        <v>0.2</v>
      </c>
      <c r="K17" t="str">
        <f>IF(H17&lt;F17,"⏳ Dormant",IF(H17&gt;=G17,"✅ Mature","🔄 Developing"))</f>
        <v>✅ Mature</v>
      </c>
    </row>
    <row r="18" spans="1:11">
      <c r="A18" t="s">
        <v>3538</v>
      </c>
      <c r="B18">
        <v>-0.6</v>
      </c>
      <c r="C18" t="s">
        <v>2487</v>
      </c>
      <c r="D18" t="s">
        <v>2569</v>
      </c>
      <c r="E18" t="s">
        <v>3539</v>
      </c>
      <c r="F18">
        <v>36</v>
      </c>
      <c r="G18">
        <v>60</v>
      </c>
      <c r="H18">
        <f>$B$5</f>
        <v>50</v>
      </c>
      <c r="I18" s="11">
        <f>IF(H18&lt;F18,0,IF(H18&gt;=G18,1,(H18-F18)/(G18-F18)))</f>
        <v>0.58333333333333337</v>
      </c>
      <c r="J18" s="13" t="e">
        <f>I18*$B$6</f>
        <v>#VALUE!</v>
      </c>
      <c r="K18" t="str">
        <f>IF(H18&lt;F18,"⏳ Dormant",IF(H18&gt;=G18,"✅ Mature","🔄 Developing"))</f>
        <v>🔄 Developing</v>
      </c>
    </row>
    <row r="19" spans="1:11">
      <c r="A19" t="s">
        <v>3540</v>
      </c>
      <c r="B19">
        <v>-0.7</v>
      </c>
      <c r="C19" t="s">
        <v>3309</v>
      </c>
      <c r="D19" t="s">
        <v>2602</v>
      </c>
      <c r="E19" t="s">
        <v>3482</v>
      </c>
      <c r="F19">
        <v>36</v>
      </c>
      <c r="G19">
        <v>60</v>
      </c>
      <c r="H19">
        <f>$B$5</f>
        <v>50</v>
      </c>
      <c r="I19" s="11">
        <f>IF(H19&lt;F19,0,IF(H19&gt;=G19,1,(H19-F19)/(G19-F19)))</f>
        <v>0.58333333333333337</v>
      </c>
      <c r="J19" s="13" t="e">
        <f>I19*$B$8</f>
        <v>#VALUE!</v>
      </c>
      <c r="K19" t="str">
        <f>IF(H19&lt;F19,"⏳ Dormant",IF(H19&gt;=G19,"✅ Mature","🔄 Developing"))</f>
        <v>🔄 Developing</v>
      </c>
    </row>
    <row r="20" spans="1:11">
      <c r="A20" t="s">
        <v>3541</v>
      </c>
      <c r="B20" t="s">
        <v>3542</v>
      </c>
      <c r="C20" t="s">
        <v>2487</v>
      </c>
      <c r="D20" t="s">
        <v>3536</v>
      </c>
      <c r="E20" t="s">
        <v>3543</v>
      </c>
      <c r="F20">
        <v>20</v>
      </c>
      <c r="G20">
        <v>40</v>
      </c>
      <c r="H20">
        <f>$B$5</f>
        <v>50</v>
      </c>
      <c r="I20" s="11">
        <f>IF(H20&lt;F20,0,IF(H20&gt;=G20,1,(H20-F20)/(G20-F20)))</f>
        <v>1</v>
      </c>
      <c r="J20" s="13">
        <f>I20*$B$12</f>
        <v>0.2</v>
      </c>
      <c r="K20" t="str">
        <f>IF(H20&lt;F20,"⏳ Dormant",IF(H20&gt;=G20,"✅ Mature","🔄 Developing"))</f>
        <v>✅ Mature</v>
      </c>
    </row>
    <row r="21" spans="1:11">
      <c r="A21" t="s">
        <v>3544</v>
      </c>
      <c r="B21">
        <v>-0.5</v>
      </c>
      <c r="C21" t="s">
        <v>2490</v>
      </c>
      <c r="D21" t="s">
        <v>2602</v>
      </c>
      <c r="E21" t="s">
        <v>3545</v>
      </c>
      <c r="F21">
        <v>36</v>
      </c>
      <c r="G21">
        <v>60</v>
      </c>
      <c r="H21">
        <f>$B$5</f>
        <v>50</v>
      </c>
      <c r="I21" s="11">
        <f>IF(H21&lt;F21,0,IF(H21&gt;=G21,1,(H21-F21)/(G21-F21)))</f>
        <v>0.58333333333333337</v>
      </c>
      <c r="J21" s="13" t="e">
        <f>I21*$B$8</f>
        <v>#VALUE!</v>
      </c>
      <c r="K21" t="str">
        <f>IF(H21&lt;F21,"⏳ Dormant",IF(H21&gt;=G21,"✅ Mature","🔄 Developing"))</f>
        <v>🔄 Developing</v>
      </c>
    </row>
    <row r="22" spans="1:11">
      <c r="A22" t="s">
        <v>3546</v>
      </c>
      <c r="B22">
        <v>0.8</v>
      </c>
      <c r="C22" t="s">
        <v>3309</v>
      </c>
      <c r="D22" t="s">
        <v>3547</v>
      </c>
      <c r="E22" t="s">
        <v>3548</v>
      </c>
      <c r="F22">
        <v>40</v>
      </c>
      <c r="G22">
        <v>70</v>
      </c>
      <c r="H22">
        <f>$B$5</f>
        <v>50</v>
      </c>
      <c r="I22" s="11">
        <f>IF(H22&lt;F22,0,IF(H22&gt;=G22,1,(H22-F22)/(G22-F22)))</f>
        <v>0.33333333333333331</v>
      </c>
      <c r="J22" s="13">
        <f>I22*$B$11</f>
        <v>9.9999999999999992E-2</v>
      </c>
      <c r="K22" t="str">
        <f>IF(H22&lt;F22,"⏳ Dormant",IF(H22&gt;=G22,"✅ Mature","🔄 Developing"))</f>
        <v>🔄 Developing</v>
      </c>
    </row>
    <row r="23" spans="1:11">
      <c r="A23" t="s">
        <v>3549</v>
      </c>
      <c r="B23">
        <v>0.6</v>
      </c>
      <c r="C23" t="s">
        <v>2490</v>
      </c>
      <c r="D23" t="s">
        <v>3533</v>
      </c>
      <c r="E23" t="s">
        <v>3550</v>
      </c>
      <c r="F23">
        <v>40</v>
      </c>
      <c r="G23">
        <v>70</v>
      </c>
      <c r="H23">
        <f>$B$5</f>
        <v>50</v>
      </c>
      <c r="I23" s="11">
        <f>IF(H23&lt;F23,0,IF(H23&gt;=G23,1,(H23-F23)/(G23-F23)))</f>
        <v>0.33333333333333331</v>
      </c>
      <c r="J23" s="13">
        <f>I23*$B$9</f>
        <v>0.16666666666666666</v>
      </c>
      <c r="K23" t="str">
        <f>IF(H23&lt;F23,"⏳ Dormant",IF(H23&gt;=G23,"✅ Mature","🔄 Developing"))</f>
        <v>🔄 Developing</v>
      </c>
    </row>
    <row r="24" spans="1:11">
      <c r="A24" t="s">
        <v>3551</v>
      </c>
      <c r="B24">
        <v>1</v>
      </c>
      <c r="C24" t="s">
        <v>2490</v>
      </c>
      <c r="D24" t="s">
        <v>3547</v>
      </c>
      <c r="E24" t="s">
        <v>1398</v>
      </c>
      <c r="F24">
        <v>40</v>
      </c>
      <c r="G24">
        <v>70</v>
      </c>
      <c r="H24">
        <f>$B$5</f>
        <v>50</v>
      </c>
      <c r="I24" s="11">
        <f>IF(H24&lt;F24,0,IF(H24&gt;=G24,1,(H24-F24)/(G24-F24)))</f>
        <v>0.33333333333333331</v>
      </c>
      <c r="J24" s="13">
        <f>I24*$B$11</f>
        <v>9.9999999999999992E-2</v>
      </c>
      <c r="K24" t="str">
        <f>IF(H24&lt;F24,"⏳ Dormant",IF(H24&gt;=G24,"✅ Mature","🔄 Developing"))</f>
        <v>🔄 Developing</v>
      </c>
    </row>
    <row r="25" spans="1:11">
      <c r="A25" t="s">
        <v>3552</v>
      </c>
      <c r="B25">
        <v>-0.6</v>
      </c>
      <c r="C25" t="s">
        <v>2487</v>
      </c>
      <c r="D25" t="s">
        <v>2602</v>
      </c>
      <c r="E25" t="s">
        <v>3553</v>
      </c>
      <c r="F25">
        <v>36</v>
      </c>
      <c r="G25">
        <v>60</v>
      </c>
      <c r="H25">
        <f>$B$5</f>
        <v>50</v>
      </c>
      <c r="I25" s="11">
        <f>IF(H25&lt;F25,0,IF(H25&gt;=G25,1,(H25-F25)/(G25-F25)))</f>
        <v>0.58333333333333337</v>
      </c>
      <c r="J25" s="13" t="e">
        <f>I25*$B$8</f>
        <v>#VALUE!</v>
      </c>
      <c r="K25" t="str">
        <f>IF(H25&lt;F25,"⏳ Dormant",IF(H25&gt;=G25,"✅ Mature","🔄 Developing"))</f>
        <v>🔄 Developing</v>
      </c>
    </row>
    <row r="27" spans="1:11">
      <c r="A27" s="1" t="s">
        <v>3554</v>
      </c>
    </row>
    <row r="28" spans="1:11">
      <c r="A28" s="172" t="s">
        <v>1793</v>
      </c>
      <c r="B28" s="172" t="s">
        <v>2227</v>
      </c>
      <c r="C28" s="172" t="s">
        <v>1588</v>
      </c>
      <c r="D28" s="172" t="s">
        <v>3555</v>
      </c>
      <c r="E28" s="172" t="s">
        <v>2002</v>
      </c>
    </row>
    <row r="29" spans="1:11">
      <c r="A29" t="s">
        <v>3556</v>
      </c>
      <c r="B29">
        <v>0.8</v>
      </c>
      <c r="C29">
        <v>0.1</v>
      </c>
      <c r="D29">
        <v>0.05</v>
      </c>
      <c r="E29">
        <f>B29*$B$9*(1-D29)</f>
        <v>0.38</v>
      </c>
    </row>
    <row r="30" spans="1:11">
      <c r="A30" t="s">
        <v>3557</v>
      </c>
      <c r="B30">
        <v>-0.6</v>
      </c>
      <c r="C30">
        <v>0.15</v>
      </c>
      <c r="D30">
        <v>0.08</v>
      </c>
      <c r="E30" t="e">
        <f>B30*$B$8*(1-D30)</f>
        <v>#VALUE!</v>
      </c>
    </row>
    <row r="31" spans="1:11">
      <c r="A31" t="s">
        <v>3558</v>
      </c>
      <c r="B31">
        <v>0.4</v>
      </c>
      <c r="C31">
        <v>0.2</v>
      </c>
      <c r="D31">
        <v>0.1</v>
      </c>
      <c r="E31">
        <f>B31*$B$12*(1-D31)</f>
        <v>7.2000000000000022E-2</v>
      </c>
    </row>
    <row r="32" spans="1:11">
      <c r="A32" t="s">
        <v>3559</v>
      </c>
      <c r="B32">
        <v>0.7</v>
      </c>
      <c r="C32">
        <v>0.08</v>
      </c>
      <c r="D32">
        <v>0.03</v>
      </c>
      <c r="E32">
        <f>B32*$B$11*(1-D32)</f>
        <v>0.20369999999999999</v>
      </c>
    </row>
    <row r="33" spans="1:5">
      <c r="A33" t="s">
        <v>3560</v>
      </c>
      <c r="B33">
        <v>0.5</v>
      </c>
      <c r="C33">
        <v>0.05</v>
      </c>
      <c r="D33">
        <v>0.02</v>
      </c>
      <c r="E33">
        <f>B33*$B$9*(1-D33)</f>
        <v>0.245</v>
      </c>
    </row>
    <row r="35" spans="1:5">
      <c r="A35" s="1" t="s">
        <v>3561</v>
      </c>
    </row>
    <row r="36" spans="1:5">
      <c r="A36" s="1" t="s">
        <v>669</v>
      </c>
      <c r="B36" s="1" t="s">
        <v>592</v>
      </c>
      <c r="C36" s="1" t="s">
        <v>562</v>
      </c>
    </row>
    <row r="37" spans="1:5">
      <c r="A37" t="s">
        <v>3562</v>
      </c>
      <c r="B37" s="13" t="e">
        <f>AVERAGE(J16:J25)</f>
        <v>#VALUE!</v>
      </c>
      <c r="C37" t="e">
        <f>IF(B37&gt;0.5,"😊 Happy",IF(B37&gt;0,"😐 Neutral","😔 Sad"))</f>
        <v>#VALUE!</v>
      </c>
    </row>
    <row r="38" spans="1:5">
      <c r="A38" t="s">
        <v>3563</v>
      </c>
      <c r="B38" t="e">
        <f>STDEV(J16:J25)</f>
        <v>#VALUE!</v>
      </c>
      <c r="C38" t="e">
        <f>IF(B38&gt;0.3,"⚡ High",IF(B38&gt;0.1,"🔄 Medium","😴 Low"))</f>
        <v>#VALUE!</v>
      </c>
    </row>
    <row r="39" spans="1:5">
      <c r="A39" t="s">
        <v>3564</v>
      </c>
      <c r="B39" s="11">
        <f>AVERAGE(I16:I25)</f>
        <v>0.59166666666666656</v>
      </c>
      <c r="C39" t="str">
        <f>IF(B39&gt;0.7,"✅ Mature",IF(B39&gt;0.4,"🔄 Developing","⏳ Emerging"))</f>
        <v>🔄 Developing</v>
      </c>
    </row>
    <row r="40" spans="1:5">
      <c r="A40" t="s">
        <v>3565</v>
      </c>
      <c r="B40" t="e">
        <f>SUM(E29:E33)</f>
        <v>#VALUE!</v>
      </c>
      <c r="C40" t="str">
        <f>""</f>
        <v/>
      </c>
    </row>
    <row r="41" spans="1:5">
      <c r="A41" t="s">
        <v>3566</v>
      </c>
      <c r="B41">
        <f>E29+E32</f>
        <v>0.5837</v>
      </c>
      <c r="C41" t="str">
        <f>""</f>
        <v/>
      </c>
    </row>
    <row r="42" spans="1:5">
      <c r="A42" t="s">
        <v>3259</v>
      </c>
      <c r="B42" t="e">
        <f>B8*0.5+E30*0.3</f>
        <v>#VALUE!</v>
      </c>
      <c r="C42" t="e">
        <f>IF(B42&gt;0.5,"🔴 HIGH",IF(B42&gt;0.3,"🟡 MODERATE","🟢 LOW"))</f>
        <v>#VALUE!</v>
      </c>
    </row>
    <row r="43" spans="1:5">
      <c r="A43" t="s">
        <v>3567</v>
      </c>
      <c r="B43" t="e">
        <f>IF(B37&gt;0.3,"🟢 POSITIVE",IF(B37&gt;0,"🟡 NEUTRAL","🔴 NEGATIVE"))</f>
        <v>#VALUE!</v>
      </c>
      <c r="C43" t="str">
        <f>""</f>
        <v/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56C2-ABB0-4FAE-9558-2F352D6C9D01}">
  <dimension ref="A1:H46"/>
  <sheetViews>
    <sheetView workbookViewId="0">
      <selection sqref="A1:XFD1048576"/>
    </sheetView>
  </sheetViews>
  <sheetFormatPr defaultRowHeight="15"/>
  <cols>
    <col min="1" max="1" width="28.5703125" customWidth="1"/>
    <col min="2" max="8" width="17.140625" customWidth="1"/>
  </cols>
  <sheetData>
    <row r="1" spans="1:3" ht="21">
      <c r="A1" s="244" t="s">
        <v>3568</v>
      </c>
    </row>
    <row r="3" spans="1:3">
      <c r="A3" s="1" t="s">
        <v>3569</v>
      </c>
    </row>
    <row r="4" spans="1:3">
      <c r="A4" s="1" t="s">
        <v>591</v>
      </c>
      <c r="B4" s="1" t="s">
        <v>592</v>
      </c>
      <c r="C4" s="1" t="s">
        <v>718</v>
      </c>
    </row>
    <row r="5" spans="1:3">
      <c r="A5" t="s">
        <v>563</v>
      </c>
      <c r="B5">
        <f>'DNA Loop Engine'!B5</f>
        <v>50</v>
      </c>
      <c r="C5" t="s">
        <v>2456</v>
      </c>
    </row>
    <row r="6" spans="1:3">
      <c r="A6" t="s">
        <v>579</v>
      </c>
      <c r="B6" s="6">
        <f>'DNA Loop Engine'!B18</f>
        <v>1</v>
      </c>
      <c r="C6" t="s">
        <v>2456</v>
      </c>
    </row>
    <row r="7" spans="1:3">
      <c r="A7" t="s">
        <v>3570</v>
      </c>
      <c r="B7">
        <f>'DNA Loop Engine'!B7</f>
        <v>1</v>
      </c>
      <c r="C7" t="s">
        <v>2456</v>
      </c>
    </row>
    <row r="8" spans="1:3">
      <c r="A8" t="s">
        <v>3571</v>
      </c>
      <c r="B8" s="6">
        <f>'DNA Loop Engine'!B26</f>
        <v>0.21</v>
      </c>
      <c r="C8" t="s">
        <v>2456</v>
      </c>
    </row>
    <row r="9" spans="1:3">
      <c r="A9" t="s">
        <v>3572</v>
      </c>
      <c r="B9">
        <v>1</v>
      </c>
      <c r="C9" t="s">
        <v>3573</v>
      </c>
    </row>
    <row r="10" spans="1:3">
      <c r="A10" t="s">
        <v>3574</v>
      </c>
      <c r="B10">
        <v>0.8</v>
      </c>
      <c r="C10" t="s">
        <v>3575</v>
      </c>
    </row>
    <row r="11" spans="1:3">
      <c r="A11" t="s">
        <v>3576</v>
      </c>
      <c r="B11">
        <v>100</v>
      </c>
      <c r="C11" t="s">
        <v>3577</v>
      </c>
    </row>
    <row r="12" spans="1:3">
      <c r="A12" t="s">
        <v>3578</v>
      </c>
      <c r="B12">
        <v>0.15</v>
      </c>
      <c r="C12" t="s">
        <v>3579</v>
      </c>
    </row>
    <row r="13" spans="1:3">
      <c r="A13" t="s">
        <v>3580</v>
      </c>
      <c r="B13">
        <v>0.25</v>
      </c>
      <c r="C13" t="s">
        <v>3579</v>
      </c>
    </row>
    <row r="14" spans="1:3">
      <c r="A14" t="s">
        <v>3581</v>
      </c>
      <c r="B14">
        <v>70</v>
      </c>
      <c r="C14" t="s">
        <v>3582</v>
      </c>
    </row>
    <row r="16" spans="1:3">
      <c r="A16" s="1" t="s">
        <v>3367</v>
      </c>
    </row>
    <row r="17" spans="1:8">
      <c r="A17" s="181" t="s">
        <v>718</v>
      </c>
      <c r="B17" s="181" t="s">
        <v>1150</v>
      </c>
      <c r="C17" s="181" t="s">
        <v>3583</v>
      </c>
      <c r="D17" s="181" t="s">
        <v>3584</v>
      </c>
      <c r="E17" s="181" t="s">
        <v>3585</v>
      </c>
      <c r="F17" s="181" t="s">
        <v>3399</v>
      </c>
      <c r="G17" s="181" t="s">
        <v>3401</v>
      </c>
      <c r="H17" s="181" t="s">
        <v>562</v>
      </c>
    </row>
    <row r="18" spans="1:8">
      <c r="A18" t="s">
        <v>3586</v>
      </c>
      <c r="B18" t="s">
        <v>3587</v>
      </c>
      <c r="C18">
        <v>0.38</v>
      </c>
      <c r="D18">
        <v>0.9</v>
      </c>
      <c r="E18">
        <v>36</v>
      </c>
      <c r="F18">
        <v>8</v>
      </c>
      <c r="G18">
        <f>$B$5</f>
        <v>50</v>
      </c>
      <c r="H18" t="str">
        <f>IF(G18&gt;=F18,"🟢 Active","⏳ Pending")</f>
        <v>🟢 Active</v>
      </c>
    </row>
    <row r="19" spans="1:8">
      <c r="A19" t="s">
        <v>3588</v>
      </c>
      <c r="B19" t="s">
        <v>3589</v>
      </c>
      <c r="C19">
        <v>0.4</v>
      </c>
      <c r="D19">
        <v>0.7</v>
      </c>
      <c r="E19">
        <v>129</v>
      </c>
      <c r="F19">
        <v>12</v>
      </c>
      <c r="G19">
        <f>$B$5</f>
        <v>50</v>
      </c>
      <c r="H19" t="str">
        <f>IF(G19&gt;=F19,"🟢 Active","⏳ Pending")</f>
        <v>🟢 Active</v>
      </c>
    </row>
    <row r="20" spans="1:8">
      <c r="A20" t="s">
        <v>3590</v>
      </c>
      <c r="B20" t="s">
        <v>3591</v>
      </c>
      <c r="C20">
        <v>0.35</v>
      </c>
      <c r="D20">
        <v>0.5</v>
      </c>
      <c r="E20">
        <v>15</v>
      </c>
      <c r="F20">
        <v>20</v>
      </c>
      <c r="G20">
        <f>$B$5</f>
        <v>50</v>
      </c>
      <c r="H20" t="str">
        <f>IF(G20&gt;=F20,"🟢 Active","⏳ Pending")</f>
        <v>🟢 Active</v>
      </c>
    </row>
    <row r="21" spans="1:8">
      <c r="A21" t="s">
        <v>3592</v>
      </c>
      <c r="B21" t="s">
        <v>3593</v>
      </c>
      <c r="C21">
        <v>0.45</v>
      </c>
      <c r="D21">
        <v>0.3</v>
      </c>
      <c r="E21">
        <v>24</v>
      </c>
      <c r="F21">
        <v>28</v>
      </c>
      <c r="G21">
        <f>$B$5</f>
        <v>50</v>
      </c>
      <c r="H21" t="str">
        <f>IF(G21&gt;=F21,"🟢 Active","⏳ Pending")</f>
        <v>🟢 Active</v>
      </c>
    </row>
    <row r="22" spans="1:8">
      <c r="A22" t="s">
        <v>3594</v>
      </c>
      <c r="B22" t="s">
        <v>3595</v>
      </c>
      <c r="C22">
        <v>0.3</v>
      </c>
      <c r="D22">
        <v>0.8</v>
      </c>
      <c r="E22">
        <v>2</v>
      </c>
      <c r="F22">
        <v>12</v>
      </c>
      <c r="G22">
        <f>$B$5</f>
        <v>50</v>
      </c>
      <c r="H22" t="str">
        <f>IF(G22&gt;=F22,"🟢 Active","⏳ Pending")</f>
        <v>🟢 Active</v>
      </c>
    </row>
    <row r="23" spans="1:8">
      <c r="A23" t="s">
        <v>3596</v>
      </c>
      <c r="B23" t="s">
        <v>3597</v>
      </c>
      <c r="C23">
        <v>0.95</v>
      </c>
      <c r="D23">
        <v>0.6</v>
      </c>
      <c r="E23">
        <v>1</v>
      </c>
      <c r="F23">
        <v>8</v>
      </c>
      <c r="G23">
        <f>$B$5</f>
        <v>50</v>
      </c>
      <c r="H23" t="str">
        <f>IF(G23&gt;=F23,"🟢 Active","⏳ Pending")</f>
        <v>🟢 Active</v>
      </c>
    </row>
    <row r="25" spans="1:8">
      <c r="A25" s="1" t="s">
        <v>3598</v>
      </c>
    </row>
    <row r="26" spans="1:8">
      <c r="A26" s="209" t="s">
        <v>3599</v>
      </c>
      <c r="B26" s="209" t="s">
        <v>3600</v>
      </c>
      <c r="C26" s="209" t="s">
        <v>3601</v>
      </c>
      <c r="D26" s="209" t="s">
        <v>3602</v>
      </c>
      <c r="E26" s="209" t="s">
        <v>3603</v>
      </c>
      <c r="F26" s="209" t="s">
        <v>3604</v>
      </c>
      <c r="G26" s="209" t="s">
        <v>562</v>
      </c>
    </row>
    <row r="27" spans="1:8">
      <c r="A27" t="s">
        <v>802</v>
      </c>
      <c r="B27">
        <v>1</v>
      </c>
      <c r="C27">
        <v>0.2</v>
      </c>
      <c r="D27">
        <v>1</v>
      </c>
      <c r="E27">
        <f>C27*D27*$B$6</f>
        <v>0.2</v>
      </c>
      <c r="F27" s="11">
        <f>E27/SUM($E$27:$E$34)</f>
        <v>0.24509803921568626</v>
      </c>
      <c r="G27" t="str">
        <f>IF(E27&gt;0.15,"🔴 High",IF(E27&gt;0.08,"🟡 Normal","🟢 Low"))</f>
        <v>🔴 High</v>
      </c>
    </row>
    <row r="28" spans="1:8">
      <c r="A28" t="s">
        <v>222</v>
      </c>
      <c r="B28">
        <v>1</v>
      </c>
      <c r="C28">
        <v>0.1</v>
      </c>
      <c r="D28">
        <v>1</v>
      </c>
      <c r="E28">
        <f>C28*D28*$B$6</f>
        <v>0.1</v>
      </c>
      <c r="F28" s="11">
        <f>E28/SUM($E$27:$E$34)</f>
        <v>0.12254901960784313</v>
      </c>
      <c r="G28" t="str">
        <f>IF(E28&gt;0.15,"🔴 High",IF(E28&gt;0.08,"🟡 Normal","🟢 Low"))</f>
        <v>🟡 Normal</v>
      </c>
    </row>
    <row r="29" spans="1:8">
      <c r="A29" t="s">
        <v>3605</v>
      </c>
      <c r="B29">
        <v>1</v>
      </c>
      <c r="C29">
        <v>0.05</v>
      </c>
      <c r="D29">
        <v>1</v>
      </c>
      <c r="E29">
        <f>C29*D29*$B$6</f>
        <v>0.05</v>
      </c>
      <c r="F29" s="11">
        <f>E29/SUM($E$27:$E$34)</f>
        <v>6.1274509803921566E-2</v>
      </c>
      <c r="G29" t="str">
        <f>IF(E29&gt;0.15,"🔴 High",IF(E29&gt;0.08,"🟡 Normal","🟢 Low"))</f>
        <v>🟢 Low</v>
      </c>
    </row>
    <row r="30" spans="1:8">
      <c r="A30" t="s">
        <v>2326</v>
      </c>
      <c r="B30">
        <v>2</v>
      </c>
      <c r="C30">
        <v>0.15</v>
      </c>
      <c r="D30">
        <v>0.8</v>
      </c>
      <c r="E30">
        <f>C30*D30*$B$6</f>
        <v>0.12</v>
      </c>
      <c r="F30" s="11">
        <f>E30/SUM($E$27:$E$34)</f>
        <v>0.14705882352941174</v>
      </c>
      <c r="G30" t="str">
        <f>IF(E30&gt;0.15,"🔴 High",IF(E30&gt;0.08,"🟡 Normal","🟢 Low"))</f>
        <v>🟡 Normal</v>
      </c>
    </row>
    <row r="31" spans="1:8">
      <c r="A31" t="s">
        <v>3606</v>
      </c>
      <c r="B31">
        <v>3</v>
      </c>
      <c r="C31">
        <v>0.25</v>
      </c>
      <c r="D31">
        <v>0.5</v>
      </c>
      <c r="E31">
        <f>C31*D31*$B$6</f>
        <v>0.125</v>
      </c>
      <c r="F31" s="11">
        <f>E31/SUM($E$27:$E$34)</f>
        <v>0.1531862745098039</v>
      </c>
      <c r="G31" t="str">
        <f>IF(E31&gt;0.15,"🔴 High",IF(E31&gt;0.08,"🟡 Normal","🟢 Low"))</f>
        <v>🟡 Normal</v>
      </c>
    </row>
    <row r="32" spans="1:8">
      <c r="A32" t="s">
        <v>3607</v>
      </c>
      <c r="B32">
        <v>2</v>
      </c>
      <c r="C32">
        <v>0.08</v>
      </c>
      <c r="D32">
        <v>0.7</v>
      </c>
      <c r="E32">
        <f>C32*D32*$B$6</f>
        <v>5.5999999999999994E-2</v>
      </c>
      <c r="F32" s="11">
        <f>E32/SUM($E$27:$E$34)</f>
        <v>6.8627450980392149E-2</v>
      </c>
      <c r="G32" t="str">
        <f>IF(E32&gt;0.15,"🔴 High",IF(E32&gt;0.08,"🟡 Normal","🟢 Low"))</f>
        <v>🟢 Low</v>
      </c>
    </row>
    <row r="33" spans="1:7">
      <c r="A33" t="s">
        <v>3608</v>
      </c>
      <c r="B33">
        <v>2</v>
      </c>
      <c r="C33">
        <v>0.12</v>
      </c>
      <c r="D33">
        <v>1</v>
      </c>
      <c r="E33">
        <f>C33*D33*$B$6</f>
        <v>0.12</v>
      </c>
      <c r="F33" s="11">
        <f>E33/SUM($E$27:$E$34)</f>
        <v>0.14705882352941174</v>
      </c>
      <c r="G33" t="str">
        <f>IF(E33&gt;0.15,"🔴 High",IF(E33&gt;0.08,"🟡 Normal","🟢 Low"))</f>
        <v>🟡 Normal</v>
      </c>
    </row>
    <row r="34" spans="1:7">
      <c r="A34" t="s">
        <v>2299</v>
      </c>
      <c r="B34">
        <v>2</v>
      </c>
      <c r="C34">
        <v>0.05</v>
      </c>
      <c r="D34">
        <v>0.9</v>
      </c>
      <c r="E34">
        <f>C34*D34*$B$6</f>
        <v>4.5000000000000005E-2</v>
      </c>
      <c r="F34" s="11">
        <f>E34/SUM($E$27:$E$34)</f>
        <v>5.5147058823529417E-2</v>
      </c>
      <c r="G34" t="str">
        <f>IF(E34&gt;0.15,"🔴 High",IF(E34&gt;0.08,"🟡 Normal","🟢 Low"))</f>
        <v>🟢 Low</v>
      </c>
    </row>
    <row r="36" spans="1:7">
      <c r="A36" s="1" t="s">
        <v>3609</v>
      </c>
    </row>
    <row r="37" spans="1:7">
      <c r="A37" s="1" t="s">
        <v>669</v>
      </c>
      <c r="B37" s="1" t="s">
        <v>592</v>
      </c>
      <c r="C37" s="1" t="s">
        <v>562</v>
      </c>
    </row>
    <row r="38" spans="1:7">
      <c r="A38" t="s">
        <v>3610</v>
      </c>
      <c r="B38">
        <f>SUMPRODUCT(C18:C23,D18:D23,E18:E23)*$B$10</f>
        <v>44.277600000000007</v>
      </c>
      <c r="C38" t="str">
        <f>IF(B38&gt;50,"⚡ High",IF(B38&gt;20,"🔋 Normal","🪫 Low"))</f>
        <v>🔋 Normal</v>
      </c>
    </row>
    <row r="39" spans="1:7">
      <c r="A39" t="s">
        <v>3611</v>
      </c>
      <c r="B39">
        <f>SUM(E27:E34)</f>
        <v>0.81600000000000006</v>
      </c>
      <c r="C39" t="str">
        <f>""</f>
        <v/>
      </c>
    </row>
    <row r="40" spans="1:7">
      <c r="A40" t="s">
        <v>3612</v>
      </c>
      <c r="B40">
        <f>B38-B39</f>
        <v>43.461600000000004</v>
      </c>
      <c r="C40" t="str">
        <f>IF(B40&gt;0,"✅ Positive","⚠️ Negative")</f>
        <v>✅ Positive</v>
      </c>
    </row>
    <row r="41" spans="1:7">
      <c r="A41" t="s">
        <v>3576</v>
      </c>
      <c r="B41">
        <f>B11*(1-B39/B38)</f>
        <v>98.157081684644155</v>
      </c>
      <c r="C41" t="str">
        <f>IF(B41&gt;80,"🟢 Full",IF(B41&gt;40,"🟡 Moderate","🔴 Low"))</f>
        <v>🟢 Full</v>
      </c>
    </row>
    <row r="42" spans="1:7">
      <c r="A42" t="s">
        <v>3613</v>
      </c>
      <c r="B42">
        <f>MAX(0,(B11-B12*100)/B11)</f>
        <v>0.85</v>
      </c>
      <c r="C42" t="str">
        <f>IF(B42&gt;0.7,"🧠 High",IF(B42&gt;0.4,"🧠 Normal","🧠 Low"))</f>
        <v>🧠 High</v>
      </c>
    </row>
    <row r="43" spans="1:7">
      <c r="A43" t="s">
        <v>3614</v>
      </c>
      <c r="B43">
        <f>MAX(0,(B11-B13*100)/B11)</f>
        <v>0.75</v>
      </c>
      <c r="C43" t="str">
        <f>IF(B43&gt;0.7,"💪 High",IF(B43&gt;0.4,"💪 Normal","💪 Low"))</f>
        <v>💪 High</v>
      </c>
    </row>
    <row r="44" spans="1:7">
      <c r="A44" t="s">
        <v>3615</v>
      </c>
      <c r="B44">
        <f>MIN(1,B39/B38)</f>
        <v>1.8429183153558456E-2</v>
      </c>
      <c r="C44" t="str">
        <f>IF(B44&gt;0.8,"😴 Exhausted",IF(B44&gt;0.5,"😓 Tired","😊 Fresh"))</f>
        <v>😊 Fresh</v>
      </c>
    </row>
    <row r="45" spans="1:7">
      <c r="A45" t="s">
        <v>3616</v>
      </c>
      <c r="B45">
        <f>B10*(1-B44)</f>
        <v>0.78525665347715323</v>
      </c>
      <c r="C45" t="str">
        <f>""</f>
        <v/>
      </c>
    </row>
    <row r="46" spans="1:7">
      <c r="A46" t="s">
        <v>3617</v>
      </c>
      <c r="B46" t="str">
        <f>IF(B40&gt;0,"🟢 SURPLUS",IF(B40&gt;-0.1,"🟡 BALANCED","🔴 DEFICIT"))</f>
        <v>🟢 SURPLUS</v>
      </c>
      <c r="C46" t="str">
        <f>""</f>
        <v/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143E-E16F-4EBA-ABD0-DCD783D1448C}">
  <dimension ref="A1:J44"/>
  <sheetViews>
    <sheetView workbookViewId="0"/>
  </sheetViews>
  <sheetFormatPr defaultRowHeight="15"/>
  <cols>
    <col min="1" max="1" width="28.5703125" customWidth="1"/>
    <col min="2" max="10" width="19" customWidth="1"/>
  </cols>
  <sheetData>
    <row r="1" spans="1:10" ht="21">
      <c r="A1" s="245" t="s">
        <v>3618</v>
      </c>
    </row>
    <row r="3" spans="1:10">
      <c r="A3" s="1" t="s">
        <v>3619</v>
      </c>
    </row>
    <row r="4" spans="1:10">
      <c r="A4" s="1" t="s">
        <v>591</v>
      </c>
      <c r="B4" s="1" t="s">
        <v>592</v>
      </c>
      <c r="C4" s="1" t="s">
        <v>718</v>
      </c>
    </row>
    <row r="5" spans="1:10">
      <c r="A5" t="s">
        <v>563</v>
      </c>
      <c r="B5">
        <f>'DNA Loop Engine'!B5</f>
        <v>50</v>
      </c>
      <c r="C5" t="s">
        <v>2456</v>
      </c>
    </row>
    <row r="6" spans="1:10">
      <c r="A6" t="s">
        <v>581</v>
      </c>
      <c r="B6" s="6">
        <f>'DNA Loop Engine'!B19</f>
        <v>1</v>
      </c>
      <c r="C6" t="s">
        <v>2456</v>
      </c>
    </row>
    <row r="7" spans="1:10">
      <c r="A7" t="s">
        <v>1249</v>
      </c>
      <c r="B7" s="11">
        <f>AVERAGE('Sensory Integration'!L2:L16)</f>
        <v>1</v>
      </c>
      <c r="C7" t="s">
        <v>1170</v>
      </c>
    </row>
    <row r="8" spans="1:10">
      <c r="A8" t="s">
        <v>1253</v>
      </c>
      <c r="B8">
        <v>0.1</v>
      </c>
      <c r="C8" t="s">
        <v>1745</v>
      </c>
    </row>
    <row r="9" spans="1:10">
      <c r="A9" t="s">
        <v>3620</v>
      </c>
      <c r="B9">
        <v>10</v>
      </c>
      <c r="C9" t="s">
        <v>3621</v>
      </c>
    </row>
    <row r="10" spans="1:10">
      <c r="A10" t="s">
        <v>3622</v>
      </c>
      <c r="B10">
        <v>0.5</v>
      </c>
      <c r="C10" t="s">
        <v>3623</v>
      </c>
    </row>
    <row r="11" spans="1:10">
      <c r="A11" t="s">
        <v>3624</v>
      </c>
      <c r="B11">
        <v>0.2</v>
      </c>
      <c r="C11" t="s">
        <v>3625</v>
      </c>
    </row>
    <row r="12" spans="1:10">
      <c r="A12" t="s">
        <v>3626</v>
      </c>
      <c r="B12">
        <v>1</v>
      </c>
      <c r="C12" t="s">
        <v>3627</v>
      </c>
    </row>
    <row r="14" spans="1:10">
      <c r="A14" s="1" t="s">
        <v>3628</v>
      </c>
    </row>
    <row r="15" spans="1:10">
      <c r="A15" s="179" t="s">
        <v>3629</v>
      </c>
      <c r="B15" s="179" t="s">
        <v>47</v>
      </c>
      <c r="C15" s="179" t="s">
        <v>1766</v>
      </c>
      <c r="D15" s="179" t="s">
        <v>1767</v>
      </c>
      <c r="E15" s="179" t="s">
        <v>3630</v>
      </c>
      <c r="F15" s="179" t="s">
        <v>3399</v>
      </c>
      <c r="G15" s="179" t="s">
        <v>3401</v>
      </c>
      <c r="H15" s="179" t="s">
        <v>455</v>
      </c>
      <c r="I15" s="179" t="s">
        <v>562</v>
      </c>
      <c r="J15" s="179" t="s">
        <v>3631</v>
      </c>
    </row>
    <row r="16" spans="1:10">
      <c r="A16" t="s">
        <v>3632</v>
      </c>
      <c r="B16" t="s">
        <v>65</v>
      </c>
      <c r="C16" t="s">
        <v>456</v>
      </c>
      <c r="D16" t="s">
        <v>3633</v>
      </c>
      <c r="E16">
        <v>0.7</v>
      </c>
      <c r="F16">
        <v>36</v>
      </c>
      <c r="G16">
        <f>$B$5</f>
        <v>50</v>
      </c>
      <c r="H16" s="11">
        <f>IF(G16&lt;F16,0,MIN(1,(G16-F16)/30))</f>
        <v>0.46666666666666667</v>
      </c>
      <c r="I16" t="str">
        <f>IF(G16&lt;F16,"⏳ Dormant",IF(H16&gt;=1,"✅ Mature","🔄 Learning"))</f>
        <v>🔄 Learning</v>
      </c>
      <c r="J16" s="13">
        <f>IF(H16&gt;0,(1-E16)*H16,0)</f>
        <v>0.14000000000000001</v>
      </c>
    </row>
    <row r="17" spans="1:10">
      <c r="A17" t="s">
        <v>3634</v>
      </c>
      <c r="B17" t="s">
        <v>1798</v>
      </c>
      <c r="C17" t="s">
        <v>1170</v>
      </c>
      <c r="D17" t="s">
        <v>3635</v>
      </c>
      <c r="E17">
        <v>0.6</v>
      </c>
      <c r="F17">
        <v>20</v>
      </c>
      <c r="G17">
        <f>$B$5</f>
        <v>50</v>
      </c>
      <c r="H17" s="11">
        <f>IF(G17&lt;F17,0,MIN(1,(G17-F17)/30))</f>
        <v>1</v>
      </c>
      <c r="I17" t="str">
        <f>IF(G17&lt;F17,"⏳ Dormant",IF(H17&gt;=1,"✅ Mature","🔄 Learning"))</f>
        <v>✅ Mature</v>
      </c>
      <c r="J17" s="13">
        <f>IF(H17&gt;0,(1-E17)*H17,0)</f>
        <v>0.4</v>
      </c>
    </row>
    <row r="18" spans="1:10">
      <c r="A18" t="s">
        <v>3636</v>
      </c>
      <c r="B18" t="s">
        <v>1553</v>
      </c>
      <c r="C18" t="s">
        <v>3637</v>
      </c>
      <c r="D18" t="s">
        <v>3638</v>
      </c>
      <c r="E18">
        <v>0.5</v>
      </c>
      <c r="F18">
        <v>40</v>
      </c>
      <c r="G18">
        <f>$B$5</f>
        <v>50</v>
      </c>
      <c r="H18" s="11">
        <f>IF(G18&lt;F18,0,MIN(1,(G18-F18)/30))</f>
        <v>0.33333333333333331</v>
      </c>
      <c r="I18" t="str">
        <f>IF(G18&lt;F18,"⏳ Dormant",IF(H18&gt;=1,"✅ Mature","🔄 Learning"))</f>
        <v>🔄 Learning</v>
      </c>
      <c r="J18" s="13">
        <f>IF(H18&gt;0,(1-E18)*H18,0)</f>
        <v>0.16666666666666666</v>
      </c>
    </row>
    <row r="19" spans="1:10">
      <c r="A19" t="s">
        <v>3639</v>
      </c>
      <c r="B19" t="s">
        <v>3640</v>
      </c>
      <c r="C19" t="s">
        <v>3637</v>
      </c>
      <c r="D19" t="s">
        <v>3641</v>
      </c>
      <c r="E19">
        <v>0.65</v>
      </c>
      <c r="F19">
        <v>36</v>
      </c>
      <c r="G19">
        <f>$B$5</f>
        <v>50</v>
      </c>
      <c r="H19" s="11">
        <f>IF(G19&lt;F19,0,MIN(1,(G19-F19)/30))</f>
        <v>0.46666666666666667</v>
      </c>
      <c r="I19" t="str">
        <f>IF(G19&lt;F19,"⏳ Dormant",IF(H19&gt;=1,"✅ Mature","🔄 Learning"))</f>
        <v>🔄 Learning</v>
      </c>
      <c r="J19" s="13">
        <f>IF(H19&gt;0,(1-E19)*H19,0)</f>
        <v>0.16333333333333333</v>
      </c>
    </row>
    <row r="20" spans="1:10">
      <c r="A20" t="s">
        <v>3642</v>
      </c>
      <c r="B20" t="s">
        <v>3456</v>
      </c>
      <c r="C20" t="s">
        <v>3643</v>
      </c>
      <c r="D20" t="s">
        <v>3644</v>
      </c>
      <c r="E20">
        <v>0.55000000000000004</v>
      </c>
      <c r="F20">
        <v>40</v>
      </c>
      <c r="G20">
        <f>$B$5</f>
        <v>50</v>
      </c>
      <c r="H20" s="11">
        <f>IF(G20&lt;F20,0,MIN(1,(G20-F20)/30))</f>
        <v>0.33333333333333331</v>
      </c>
      <c r="I20" t="str">
        <f>IF(G20&lt;F20,"⏳ Dormant",IF(H20&gt;=1,"✅ Mature","🔄 Learning"))</f>
        <v>🔄 Learning</v>
      </c>
      <c r="J20" s="13">
        <f>IF(H20&gt;0,(1-E20)*H20,0)</f>
        <v>0.14999999999999997</v>
      </c>
    </row>
    <row r="21" spans="1:10">
      <c r="A21" t="s">
        <v>3645</v>
      </c>
      <c r="B21" t="s">
        <v>1557</v>
      </c>
      <c r="C21" t="s">
        <v>3474</v>
      </c>
      <c r="D21" t="s">
        <v>3005</v>
      </c>
      <c r="E21">
        <v>0.6</v>
      </c>
      <c r="F21">
        <v>40</v>
      </c>
      <c r="G21">
        <f>$B$5</f>
        <v>50</v>
      </c>
      <c r="H21" s="11">
        <f>IF(G21&lt;F21,0,MIN(1,(G21-F21)/30))</f>
        <v>0.33333333333333331</v>
      </c>
      <c r="I21" t="str">
        <f>IF(G21&lt;F21,"⏳ Dormant",IF(H21&gt;=1,"✅ Mature","🔄 Learning"))</f>
        <v>🔄 Learning</v>
      </c>
      <c r="J21" s="13">
        <f>IF(H21&gt;0,(1-E21)*H21,0)</f>
        <v>0.13333333333333333</v>
      </c>
    </row>
    <row r="22" spans="1:10">
      <c r="A22" t="s">
        <v>1389</v>
      </c>
      <c r="B22" t="s">
        <v>1798</v>
      </c>
      <c r="C22" t="s">
        <v>3643</v>
      </c>
      <c r="D22" t="s">
        <v>3646</v>
      </c>
      <c r="E22">
        <v>0.8</v>
      </c>
      <c r="F22">
        <v>24</v>
      </c>
      <c r="G22">
        <f>$B$5</f>
        <v>50</v>
      </c>
      <c r="H22" s="11">
        <f>IF(G22&lt;F22,0,MIN(1,(G22-F22)/30))</f>
        <v>0.8666666666666667</v>
      </c>
      <c r="I22" t="str">
        <f>IF(G22&lt;F22,"⏳ Dormant",IF(H22&gt;=1,"✅ Mature","🔄 Learning"))</f>
        <v>🔄 Learning</v>
      </c>
      <c r="J22" s="13">
        <f>IF(H22&gt;0,(1-E22)*H22,0)</f>
        <v>0.17333333333333331</v>
      </c>
    </row>
    <row r="23" spans="1:10">
      <c r="A23" t="s">
        <v>3647</v>
      </c>
      <c r="B23" t="s">
        <v>1224</v>
      </c>
      <c r="C23" t="s">
        <v>3474</v>
      </c>
      <c r="D23" t="s">
        <v>3648</v>
      </c>
      <c r="E23">
        <v>0.5</v>
      </c>
      <c r="F23">
        <v>40</v>
      </c>
      <c r="G23">
        <f>$B$5</f>
        <v>50</v>
      </c>
      <c r="H23" s="11">
        <f>IF(G23&lt;F23,0,MIN(1,(G23-F23)/30))</f>
        <v>0.33333333333333331</v>
      </c>
      <c r="I23" t="str">
        <f>IF(G23&lt;F23,"⏳ Dormant",IF(H23&gt;=1,"✅ Mature","🔄 Learning"))</f>
        <v>🔄 Learning</v>
      </c>
      <c r="J23" s="13">
        <f>IF(H23&gt;0,(1-E23)*H23,0)</f>
        <v>0.16666666666666666</v>
      </c>
    </row>
    <row r="24" spans="1:10">
      <c r="A24" t="s">
        <v>3649</v>
      </c>
      <c r="B24" t="s">
        <v>3650</v>
      </c>
      <c r="C24" t="s">
        <v>3072</v>
      </c>
      <c r="D24" t="s">
        <v>2955</v>
      </c>
      <c r="E24">
        <v>0.45</v>
      </c>
      <c r="F24">
        <v>36</v>
      </c>
      <c r="G24">
        <f>$B$5</f>
        <v>50</v>
      </c>
      <c r="H24" s="11">
        <f>IF(G24&lt;F24,0,MIN(1,(G24-F24)/30))</f>
        <v>0.46666666666666667</v>
      </c>
      <c r="I24" t="str">
        <f>IF(G24&lt;F24,"⏳ Dormant",IF(H24&gt;=1,"✅ Mature","🔄 Learning"))</f>
        <v>🔄 Learning</v>
      </c>
      <c r="J24" s="13">
        <f>IF(H24&gt;0,(1-E24)*H24,0)</f>
        <v>0.25666666666666671</v>
      </c>
    </row>
    <row r="25" spans="1:10">
      <c r="A25" t="s">
        <v>3651</v>
      </c>
      <c r="B25" t="s">
        <v>3434</v>
      </c>
      <c r="C25" t="s">
        <v>3652</v>
      </c>
      <c r="D25" t="s">
        <v>3653</v>
      </c>
      <c r="E25">
        <v>0.6</v>
      </c>
      <c r="F25">
        <v>36</v>
      </c>
      <c r="G25">
        <f>$B$5</f>
        <v>50</v>
      </c>
      <c r="H25" s="11">
        <f>IF(G25&lt;F25,0,MIN(1,(G25-F25)/30))</f>
        <v>0.46666666666666667</v>
      </c>
      <c r="I25" t="str">
        <f>IF(G25&lt;F25,"⏳ Dormant",IF(H25&gt;=1,"✅ Mature","🔄 Learning"))</f>
        <v>🔄 Learning</v>
      </c>
      <c r="J25" s="13">
        <f>IF(H25&gt;0,(1-E25)*H25,0)</f>
        <v>0.18666666666666668</v>
      </c>
    </row>
    <row r="27" spans="1:10">
      <c r="A27" s="1" t="s">
        <v>3654</v>
      </c>
    </row>
    <row r="28" spans="1:10">
      <c r="A28" s="172" t="s">
        <v>3465</v>
      </c>
      <c r="B28" s="172" t="s">
        <v>3466</v>
      </c>
      <c r="C28" s="172" t="s">
        <v>880</v>
      </c>
      <c r="D28" s="172" t="s">
        <v>2227</v>
      </c>
      <c r="E28" s="172" t="s">
        <v>3093</v>
      </c>
    </row>
    <row r="29" spans="1:10">
      <c r="A29" t="s">
        <v>3655</v>
      </c>
      <c r="B29" t="s">
        <v>3656</v>
      </c>
      <c r="C29" t="s">
        <v>3657</v>
      </c>
      <c r="D29">
        <v>0.6</v>
      </c>
      <c r="E29" t="str">
        <f>IF($B$5&gt;=36,"🟢 Yes","⏳ No")</f>
        <v>🟢 Yes</v>
      </c>
    </row>
    <row r="30" spans="1:10">
      <c r="A30" t="s">
        <v>3658</v>
      </c>
      <c r="B30" t="s">
        <v>3631</v>
      </c>
      <c r="C30" t="s">
        <v>3659</v>
      </c>
      <c r="D30">
        <v>0.7</v>
      </c>
      <c r="E30" t="str">
        <f>IF($B$5&gt;=36,"🟢 Yes","⏳ No")</f>
        <v>🟢 Yes</v>
      </c>
    </row>
    <row r="31" spans="1:10">
      <c r="A31" t="s">
        <v>3660</v>
      </c>
      <c r="B31" t="s">
        <v>3661</v>
      </c>
      <c r="C31" t="s">
        <v>3662</v>
      </c>
      <c r="D31">
        <v>0.5</v>
      </c>
      <c r="E31" t="str">
        <f>IF($B$5&gt;=40,"🟢 Yes","⏳ No")</f>
        <v>🟢 Yes</v>
      </c>
    </row>
    <row r="32" spans="1:10">
      <c r="A32" t="s">
        <v>3663</v>
      </c>
      <c r="B32" t="s">
        <v>3664</v>
      </c>
      <c r="C32" t="s">
        <v>3665</v>
      </c>
      <c r="D32">
        <v>0.4</v>
      </c>
      <c r="E32" t="str">
        <f>IF($B$5&gt;=36,"🟢 Yes","⏳ No")</f>
        <v>🟢 Yes</v>
      </c>
    </row>
    <row r="33" spans="1:5">
      <c r="A33" t="s">
        <v>3666</v>
      </c>
      <c r="B33" t="s">
        <v>3667</v>
      </c>
      <c r="C33" t="s">
        <v>3668</v>
      </c>
      <c r="D33">
        <v>0.3</v>
      </c>
      <c r="E33" t="str">
        <f>IF($B$5&gt;=40,"🟢 Yes","⏳ No")</f>
        <v>🟢 Yes</v>
      </c>
    </row>
    <row r="35" spans="1:5">
      <c r="A35" s="1" t="s">
        <v>3669</v>
      </c>
    </row>
    <row r="36" spans="1:5">
      <c r="A36" s="1" t="s">
        <v>669</v>
      </c>
      <c r="B36" s="1" t="s">
        <v>592</v>
      </c>
      <c r="C36" s="1" t="s">
        <v>562</v>
      </c>
    </row>
    <row r="37" spans="1:5">
      <c r="A37" t="s">
        <v>3670</v>
      </c>
      <c r="B37">
        <f>COUNTA(A16:A25)</f>
        <v>10</v>
      </c>
      <c r="C37" t="str">
        <f>""</f>
        <v/>
      </c>
    </row>
    <row r="38" spans="1:5">
      <c r="A38" t="s">
        <v>3671</v>
      </c>
      <c r="B38">
        <f>COUNTIF(I16:I25,"✅ Mature")+COUNTIF(I16:I25,"🔄 Learning")</f>
        <v>10</v>
      </c>
      <c r="C38" t="str">
        <f>""</f>
        <v/>
      </c>
    </row>
    <row r="39" spans="1:5">
      <c r="A39" t="s">
        <v>3672</v>
      </c>
      <c r="B39">
        <f>COUNTIF(I16:I25,"⏳ Dormant")</f>
        <v>0</v>
      </c>
      <c r="C39" t="str">
        <f>""</f>
        <v/>
      </c>
    </row>
    <row r="40" spans="1:5">
      <c r="A40" t="s">
        <v>3673</v>
      </c>
      <c r="B40">
        <f>AVERAGE(E16:E25)*AVERAGE(H16:H25)</f>
        <v>0.30146666666666666</v>
      </c>
      <c r="C40" t="str">
        <f>IF(B40&gt;0.5,"🎯 High",IF(B40&gt;0.3,"🎯 Medium","🎯 Low"))</f>
        <v>🎯 Medium</v>
      </c>
    </row>
    <row r="41" spans="1:5">
      <c r="A41" t="s">
        <v>3674</v>
      </c>
      <c r="B41" s="13">
        <f>AVERAGE(J16:J25)</f>
        <v>0.19366666666666668</v>
      </c>
      <c r="C41" t="str">
        <f>IF(B41&lt;0.2,"✅ Good",IF(B41&lt;0.4,"🟡 Moderate","🔴 Poor"))</f>
        <v>✅ Good</v>
      </c>
    </row>
    <row r="42" spans="1:5">
      <c r="A42" t="s">
        <v>3622</v>
      </c>
      <c r="B42" s="6">
        <f>B6*AVERAGE(H16:H25)</f>
        <v>0.50666666666666671</v>
      </c>
      <c r="C42" t="str">
        <f>IF(B42&gt;0.5,"🧠 Strong",IF(B42&gt;0.25,"🧠 Building","🧠 Weak"))</f>
        <v>🧠 Strong</v>
      </c>
    </row>
    <row r="43" spans="1:5">
      <c r="A43" t="s">
        <v>3675</v>
      </c>
      <c r="B43">
        <f>B9*B6</f>
        <v>10</v>
      </c>
      <c r="C43" t="str">
        <f>IF(B43&gt;5,"📅 Long",IF(B43&gt;2,"📅 Medium","📅 Short"))</f>
        <v>📅 Long</v>
      </c>
    </row>
    <row r="44" spans="1:5">
      <c r="A44" t="s">
        <v>3676</v>
      </c>
      <c r="B44" t="str">
        <f>IF(B38&gt;=7,"🟢 OPERATIONAL",IF(B38&gt;=4,"🟡 DEVELOPING","🔴 EMERGING"))</f>
        <v>🟢 OPERATIONAL</v>
      </c>
      <c r="C44" t="str">
        <f>""</f>
        <v/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C4F5-56EF-4CFB-B29C-21B9076D95F3}">
  <dimension ref="A1:J42"/>
  <sheetViews>
    <sheetView workbookViewId="0"/>
  </sheetViews>
  <sheetFormatPr defaultRowHeight="15"/>
  <cols>
    <col min="1" max="1" width="28.5703125" customWidth="1"/>
    <col min="2" max="10" width="19" customWidth="1"/>
  </cols>
  <sheetData>
    <row r="1" spans="1:10" ht="21">
      <c r="A1" s="246" t="s">
        <v>3677</v>
      </c>
    </row>
    <row r="3" spans="1:10">
      <c r="A3" s="1" t="s">
        <v>3678</v>
      </c>
    </row>
    <row r="4" spans="1:10">
      <c r="A4" s="1" t="s">
        <v>591</v>
      </c>
      <c r="B4" s="1" t="s">
        <v>592</v>
      </c>
      <c r="C4" s="1" t="s">
        <v>718</v>
      </c>
    </row>
    <row r="5" spans="1:10">
      <c r="A5" t="s">
        <v>563</v>
      </c>
      <c r="B5">
        <f>'DNA Loop Engine'!B5</f>
        <v>50</v>
      </c>
      <c r="C5" t="s">
        <v>2456</v>
      </c>
    </row>
    <row r="6" spans="1:10">
      <c r="A6" t="s">
        <v>581</v>
      </c>
      <c r="B6" s="6">
        <f>'DNA Loop Engine'!B19</f>
        <v>1</v>
      </c>
      <c r="C6" t="s">
        <v>2456</v>
      </c>
    </row>
    <row r="7" spans="1:10">
      <c r="A7" t="s">
        <v>3257</v>
      </c>
      <c r="B7">
        <f>'Energy &amp; ATP System'!B41</f>
        <v>98.157081684644155</v>
      </c>
      <c r="C7" t="s">
        <v>3679</v>
      </c>
    </row>
    <row r="8" spans="1:10">
      <c r="A8" t="s">
        <v>3563</v>
      </c>
      <c r="B8" t="e">
        <f>'Emotion &amp; Reinforcement'!B38</f>
        <v>#VALUE!</v>
      </c>
      <c r="C8" t="s">
        <v>3637</v>
      </c>
    </row>
    <row r="9" spans="1:10">
      <c r="A9" t="s">
        <v>3680</v>
      </c>
      <c r="B9">
        <v>7</v>
      </c>
      <c r="C9" t="s">
        <v>3681</v>
      </c>
    </row>
    <row r="10" spans="1:10">
      <c r="A10" t="s">
        <v>3682</v>
      </c>
      <c r="B10">
        <v>0.3</v>
      </c>
      <c r="C10" t="s">
        <v>3623</v>
      </c>
    </row>
    <row r="11" spans="1:10">
      <c r="A11" t="s">
        <v>3683</v>
      </c>
      <c r="B11">
        <v>0.1</v>
      </c>
      <c r="C11" t="s">
        <v>3684</v>
      </c>
    </row>
    <row r="12" spans="1:10">
      <c r="A12" t="s">
        <v>1261</v>
      </c>
      <c r="B12">
        <v>5</v>
      </c>
      <c r="C12" t="s">
        <v>3685</v>
      </c>
    </row>
    <row r="14" spans="1:10">
      <c r="A14" s="1" t="s">
        <v>3686</v>
      </c>
    </row>
    <row r="15" spans="1:10">
      <c r="A15" s="247" t="s">
        <v>3687</v>
      </c>
      <c r="B15" s="247" t="s">
        <v>686</v>
      </c>
      <c r="C15" s="247" t="s">
        <v>3600</v>
      </c>
      <c r="D15" s="247" t="s">
        <v>689</v>
      </c>
      <c r="E15" s="247" t="s">
        <v>3688</v>
      </c>
      <c r="F15" s="247" t="s">
        <v>3399</v>
      </c>
      <c r="G15" s="247" t="s">
        <v>3401</v>
      </c>
      <c r="H15" s="247" t="s">
        <v>455</v>
      </c>
      <c r="I15" s="247" t="s">
        <v>562</v>
      </c>
      <c r="J15" s="247" t="s">
        <v>3689</v>
      </c>
    </row>
    <row r="16" spans="1:10">
      <c r="A16" t="s">
        <v>3690</v>
      </c>
      <c r="B16" t="s">
        <v>919</v>
      </c>
      <c r="C16">
        <v>0.25</v>
      </c>
      <c r="D16">
        <f>IFERROR('Sensory Integration'!R2,0.5)</f>
        <v>1.7</v>
      </c>
      <c r="E16" t="str">
        <f>IF(D16&gt;$B$10,"🟢 Open","🔴 Gated")</f>
        <v>🟢 Open</v>
      </c>
      <c r="F16">
        <v>20</v>
      </c>
      <c r="G16">
        <f>$B$5</f>
        <v>50</v>
      </c>
      <c r="H16" s="11">
        <f>IF(G16&lt;F16,0,MIN(1,(G16-F16)/20))</f>
        <v>1</v>
      </c>
      <c r="I16" t="str">
        <f>IF(G16&lt;F16,"⏳ Dormant",IF(H16&gt;=1,"✅ Mature","🔄 Developing"))</f>
        <v>✅ Mature</v>
      </c>
      <c r="J16" s="7">
        <f>C16*D16*H16*$B$6</f>
        <v>0.42499999999999999</v>
      </c>
    </row>
    <row r="17" spans="1:10">
      <c r="A17" t="s">
        <v>3691</v>
      </c>
      <c r="B17" t="s">
        <v>1380</v>
      </c>
      <c r="C17">
        <v>0.2</v>
      </c>
      <c r="D17">
        <f>IFERROR('Sensory Integration'!R5,0.5)</f>
        <v>1.7</v>
      </c>
      <c r="E17" t="str">
        <f>IF(D17&gt;$B$10,"🟢 Open","🔴 Gated")</f>
        <v>🟢 Open</v>
      </c>
      <c r="F17">
        <v>20</v>
      </c>
      <c r="G17">
        <f>$B$5</f>
        <v>50</v>
      </c>
      <c r="H17" s="11">
        <f>IF(G17&lt;F17,0,MIN(1,(G17-F17)/20))</f>
        <v>1</v>
      </c>
      <c r="I17" t="str">
        <f>IF(G17&lt;F17,"⏳ Dormant",IF(H17&gt;=1,"✅ Mature","🔄 Developing"))</f>
        <v>✅ Mature</v>
      </c>
      <c r="J17" s="7">
        <f>C17*D17*H17*$B$6</f>
        <v>0.34</v>
      </c>
    </row>
    <row r="18" spans="1:10">
      <c r="A18" t="s">
        <v>3692</v>
      </c>
      <c r="B18" t="s">
        <v>933</v>
      </c>
      <c r="C18">
        <v>0.15</v>
      </c>
      <c r="D18">
        <f>IFERROR('Sensory Integration'!R8,0.5)</f>
        <v>1.5</v>
      </c>
      <c r="E18" t="str">
        <f>IF(D18&gt;$B$10,"🟢 Open","🔴 Gated")</f>
        <v>🟢 Open</v>
      </c>
      <c r="F18">
        <v>12</v>
      </c>
      <c r="G18">
        <f>$B$5</f>
        <v>50</v>
      </c>
      <c r="H18" s="11">
        <f>IF(G18&lt;F18,0,MIN(1,(G18-F18)/20))</f>
        <v>1</v>
      </c>
      <c r="I18" t="str">
        <f>IF(G18&lt;F18,"⏳ Dormant",IF(H18&gt;=1,"✅ Mature","🔄 Developing"))</f>
        <v>✅ Mature</v>
      </c>
      <c r="J18" s="7">
        <f>C18*D18*H18*$B$6</f>
        <v>0.22499999999999998</v>
      </c>
    </row>
    <row r="19" spans="1:10">
      <c r="A19" t="s">
        <v>3693</v>
      </c>
      <c r="B19" t="s">
        <v>3694</v>
      </c>
      <c r="C19">
        <v>0.1</v>
      </c>
      <c r="D19">
        <f>IFERROR('Sensory Integration'!R9,0.5)</f>
        <v>1.7</v>
      </c>
      <c r="E19" t="str">
        <f>IF(D19&gt;$B$10,"🟢 Open","🔴 Gated")</f>
        <v>🟢 Open</v>
      </c>
      <c r="F19">
        <v>12</v>
      </c>
      <c r="G19">
        <f>$B$5</f>
        <v>50</v>
      </c>
      <c r="H19" s="11">
        <f>IF(G19&lt;F19,0,MIN(1,(G19-F19)/20))</f>
        <v>1</v>
      </c>
      <c r="I19" t="str">
        <f>IF(G19&lt;F19,"⏳ Dormant",IF(H19&gt;=1,"✅ Mature","🔄 Developing"))</f>
        <v>✅ Mature</v>
      </c>
      <c r="J19" s="7">
        <f>C19*D19*H19*$B$6</f>
        <v>0.17</v>
      </c>
    </row>
    <row r="20" spans="1:10">
      <c r="A20" t="s">
        <v>3695</v>
      </c>
      <c r="B20" t="s">
        <v>3696</v>
      </c>
      <c r="C20">
        <v>0.1</v>
      </c>
      <c r="D20">
        <v>0.5</v>
      </c>
      <c r="E20" t="str">
        <f>IF(D20&gt;$B$10,"🟢 Open","🔴 Gated")</f>
        <v>🟢 Open</v>
      </c>
      <c r="F20">
        <v>20</v>
      </c>
      <c r="G20">
        <f>$B$5</f>
        <v>50</v>
      </c>
      <c r="H20" s="11">
        <f>IF(G20&lt;F20,0,MIN(1,(G20-F20)/20))</f>
        <v>1</v>
      </c>
      <c r="I20" t="str">
        <f>IF(G20&lt;F20,"⏳ Dormant",IF(H20&gt;=1,"✅ Mature","🔄 Developing"))</f>
        <v>✅ Mature</v>
      </c>
      <c r="J20" s="7">
        <f>C20*D20*H20*$B$6</f>
        <v>0.05</v>
      </c>
    </row>
    <row r="21" spans="1:10">
      <c r="A21" t="s">
        <v>3697</v>
      </c>
      <c r="B21" t="s">
        <v>3698</v>
      </c>
      <c r="C21">
        <v>0.1</v>
      </c>
      <c r="D21">
        <v>0.5</v>
      </c>
      <c r="E21" t="str">
        <f>IF(D21&gt;$B$10,"🟢 Open","🔴 Gated")</f>
        <v>🟢 Open</v>
      </c>
      <c r="F21">
        <v>36</v>
      </c>
      <c r="G21">
        <f>$B$5</f>
        <v>50</v>
      </c>
      <c r="H21" s="11">
        <f>IF(G21&lt;F21,0,MIN(1,(G21-F21)/20))</f>
        <v>0.7</v>
      </c>
      <c r="I21" t="str">
        <f>IF(G21&lt;F21,"⏳ Dormant",IF(H21&gt;=1,"✅ Mature","🔄 Developing"))</f>
        <v>🔄 Developing</v>
      </c>
      <c r="J21" s="7">
        <f>C21*D21*H21*$B$6</f>
        <v>3.4999999999999996E-2</v>
      </c>
    </row>
    <row r="22" spans="1:10">
      <c r="A22" t="s">
        <v>3699</v>
      </c>
      <c r="B22" t="s">
        <v>3700</v>
      </c>
      <c r="C22">
        <v>0.05</v>
      </c>
      <c r="D22">
        <v>0.5</v>
      </c>
      <c r="E22" t="str">
        <f>IF(D22&gt;$B$10,"🟢 Open","🔴 Gated")</f>
        <v>🟢 Open</v>
      </c>
      <c r="F22">
        <v>40</v>
      </c>
      <c r="G22">
        <f>$B$5</f>
        <v>50</v>
      </c>
      <c r="H22" s="11">
        <f>IF(G22&lt;F22,0,MIN(1,(G22-F22)/20))</f>
        <v>0.5</v>
      </c>
      <c r="I22" t="str">
        <f>IF(G22&lt;F22,"⏳ Dormant",IF(H22&gt;=1,"✅ Mature","🔄 Developing"))</f>
        <v>🔄 Developing</v>
      </c>
      <c r="J22" s="7">
        <f>C22*D22*H22*$B$6</f>
        <v>1.2500000000000001E-2</v>
      </c>
    </row>
    <row r="23" spans="1:10">
      <c r="A23" t="s">
        <v>3701</v>
      </c>
      <c r="B23" t="s">
        <v>3537</v>
      </c>
      <c r="C23">
        <v>0.05</v>
      </c>
      <c r="D23">
        <v>0.5</v>
      </c>
      <c r="E23" t="str">
        <f>IF(D23&gt;$B$10,"🟢 Open","🔴 Gated")</f>
        <v>🟢 Open</v>
      </c>
      <c r="F23">
        <v>20</v>
      </c>
      <c r="G23">
        <f>$B$5</f>
        <v>50</v>
      </c>
      <c r="H23" s="11">
        <f>IF(G23&lt;F23,0,MIN(1,(G23-F23)/20))</f>
        <v>1</v>
      </c>
      <c r="I23" t="str">
        <f>IF(G23&lt;F23,"⏳ Dormant",IF(H23&gt;=1,"✅ Mature","🔄 Developing"))</f>
        <v>✅ Mature</v>
      </c>
      <c r="J23" s="7">
        <f>C23*D23*H23*$B$6</f>
        <v>2.5000000000000001E-2</v>
      </c>
    </row>
    <row r="25" spans="1:10">
      <c r="A25" s="1" t="s">
        <v>3702</v>
      </c>
    </row>
    <row r="26" spans="1:10">
      <c r="A26" s="183" t="s">
        <v>3703</v>
      </c>
      <c r="B26" s="183" t="s">
        <v>3397</v>
      </c>
      <c r="C26" s="183" t="s">
        <v>3704</v>
      </c>
      <c r="D26" s="183" t="s">
        <v>3705</v>
      </c>
    </row>
    <row r="27" spans="1:10">
      <c r="A27" t="s">
        <v>3706</v>
      </c>
      <c r="B27">
        <v>7</v>
      </c>
      <c r="C27">
        <f>MIN(B27,COUNTIF(E16:E23,"🟢 Open"))</f>
        <v>7</v>
      </c>
      <c r="D27">
        <f>B27-C27</f>
        <v>0</v>
      </c>
    </row>
    <row r="28" spans="1:10">
      <c r="A28" t="s">
        <v>3707</v>
      </c>
      <c r="B28">
        <v>4</v>
      </c>
      <c r="C28">
        <f>MIN(B28,B6*4)</f>
        <v>4</v>
      </c>
      <c r="D28">
        <f>B28-C28</f>
        <v>0</v>
      </c>
    </row>
    <row r="29" spans="1:10">
      <c r="A29" t="s">
        <v>3708</v>
      </c>
      <c r="B29">
        <v>100</v>
      </c>
      <c r="C29">
        <f>B29*B7/100</f>
        <v>98.157081684644169</v>
      </c>
      <c r="D29">
        <f>B29-C29</f>
        <v>1.8429183153558313</v>
      </c>
    </row>
    <row r="30" spans="1:10">
      <c r="A30" t="s">
        <v>3709</v>
      </c>
      <c r="B30">
        <v>3</v>
      </c>
      <c r="C30">
        <f>MIN(B30,COUNTIF(J16:J23,"&gt;0.01"))</f>
        <v>3</v>
      </c>
      <c r="D30">
        <f>B30-C30</f>
        <v>0</v>
      </c>
    </row>
    <row r="32" spans="1:10">
      <c r="A32" s="1" t="s">
        <v>3710</v>
      </c>
    </row>
    <row r="33" spans="1:3">
      <c r="A33" s="1" t="s">
        <v>669</v>
      </c>
      <c r="B33" s="1" t="s">
        <v>592</v>
      </c>
      <c r="C33" s="1" t="s">
        <v>562</v>
      </c>
    </row>
    <row r="34" spans="1:3">
      <c r="A34" t="s">
        <v>3711</v>
      </c>
      <c r="B34">
        <f>COUNTA(A16:A23)</f>
        <v>8</v>
      </c>
      <c r="C34" t="str">
        <f>""</f>
        <v/>
      </c>
    </row>
    <row r="35" spans="1:3">
      <c r="A35" t="s">
        <v>3712</v>
      </c>
      <c r="B35">
        <f>COUNTIF(E16:E23,"🟢 Open")</f>
        <v>8</v>
      </c>
      <c r="C35" t="str">
        <f>""</f>
        <v/>
      </c>
    </row>
    <row r="36" spans="1:3">
      <c r="A36" t="s">
        <v>3713</v>
      </c>
      <c r="B36">
        <f>COUNTIF(E16:E23,"🔴 Gated")</f>
        <v>0</v>
      </c>
      <c r="C36" t="str">
        <f>""</f>
        <v/>
      </c>
    </row>
    <row r="37" spans="1:3">
      <c r="A37" t="s">
        <v>3714</v>
      </c>
      <c r="B37" s="7">
        <f>SUM(J16:J23)</f>
        <v>1.2824999999999998</v>
      </c>
      <c r="C37" t="str">
        <f>IF(B37&gt;0.3,"⚡ High",IF(B37&gt;0.1,"🔋 Normal","🪫 Low"))</f>
        <v>⚡ High</v>
      </c>
    </row>
    <row r="38" spans="1:3">
      <c r="A38" t="s">
        <v>3715</v>
      </c>
      <c r="B38" t="str">
        <f>INDEX(A16:A23,MATCH(MAX(J16:J23),J16:J23,0))</f>
        <v>Visual Attention</v>
      </c>
      <c r="C38" t="str">
        <f>""</f>
        <v/>
      </c>
    </row>
    <row r="39" spans="1:3">
      <c r="A39" t="s">
        <v>3716</v>
      </c>
      <c r="B39">
        <f>B12*B6*B7/100</f>
        <v>4.9078540842322074</v>
      </c>
      <c r="C39" t="str">
        <f>IF(B39&gt;10,"📍 Long",IF(B39&gt;5,"📍 Medium","📍 Short"))</f>
        <v>📍 Short</v>
      </c>
    </row>
    <row r="40" spans="1:3">
      <c r="A40" t="s">
        <v>3717</v>
      </c>
      <c r="B40" s="6">
        <f>B6*AVERAGE(H16:H23)</f>
        <v>0.9</v>
      </c>
      <c r="C40" t="str">
        <f>IF(B40&gt;0.5,"✅ High",IF(B40&gt;0.25,"🟡 Medium","🔴 Low"))</f>
        <v>✅ High</v>
      </c>
    </row>
    <row r="41" spans="1:3">
      <c r="A41" t="s">
        <v>3718</v>
      </c>
      <c r="B41">
        <f>B10*B6</f>
        <v>0.3</v>
      </c>
      <c r="C41" t="str">
        <f>IF(B41&gt;0.5,"🛡️ Strong",IF(B41&gt;0.25,"🛡️ Moderate","🛡️ Weak"))</f>
        <v>🛡️ Moderate</v>
      </c>
    </row>
    <row r="42" spans="1:3">
      <c r="A42" t="s">
        <v>3617</v>
      </c>
      <c r="B42" t="str">
        <f>IF(B35&gt;=6,"🟢 FOCUSED",IF(B35&gt;=4,"🟡 DISTRACTED","🔴 SCATTERED"))</f>
        <v>🟢 FOCUSED</v>
      </c>
      <c r="C42" t="str">
        <f>""</f>
        <v/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2E31-C8DB-4189-B898-0B23B435EE7A}">
  <dimension ref="A1:I55"/>
  <sheetViews>
    <sheetView topLeftCell="A35" workbookViewId="0"/>
  </sheetViews>
  <sheetFormatPr defaultRowHeight="15"/>
  <cols>
    <col min="1" max="1" width="32.42578125" customWidth="1"/>
    <col min="2" max="9" width="21" customWidth="1"/>
  </cols>
  <sheetData>
    <row r="1" spans="1:3" ht="21">
      <c r="A1" s="248" t="s">
        <v>3719</v>
      </c>
    </row>
    <row r="3" spans="1:3">
      <c r="A3" s="1" t="s">
        <v>3720</v>
      </c>
    </row>
    <row r="4" spans="1:3">
      <c r="A4" s="1" t="s">
        <v>591</v>
      </c>
      <c r="B4" s="1">
        <f>'DNA Loop Engine'!B5</f>
        <v>50</v>
      </c>
      <c r="C4" s="1" t="s">
        <v>718</v>
      </c>
    </row>
    <row r="5" spans="1:3">
      <c r="A5" t="s">
        <v>563</v>
      </c>
      <c r="B5">
        <f>'DNA Loop Engine'!B5</f>
        <v>50</v>
      </c>
      <c r="C5" t="s">
        <v>2456</v>
      </c>
    </row>
    <row r="6" spans="1:3">
      <c r="A6" t="s">
        <v>581</v>
      </c>
      <c r="B6" s="6">
        <f>'DNA Loop Engine'!B19</f>
        <v>1</v>
      </c>
      <c r="C6" t="s">
        <v>2456</v>
      </c>
    </row>
    <row r="7" spans="1:3">
      <c r="A7" t="s">
        <v>583</v>
      </c>
      <c r="B7" s="6">
        <f>'DNA Loop Engine'!B21</f>
        <v>1</v>
      </c>
      <c r="C7" t="s">
        <v>2456</v>
      </c>
    </row>
    <row r="8" spans="1:3">
      <c r="A8" t="s">
        <v>3721</v>
      </c>
      <c r="B8" s="11">
        <f>'Memory System'!B32</f>
        <v>0.58210784313725494</v>
      </c>
      <c r="C8" t="s">
        <v>3643</v>
      </c>
    </row>
    <row r="9" spans="1:3">
      <c r="A9" t="s">
        <v>3722</v>
      </c>
      <c r="B9" s="11">
        <f>'Emotion &amp; Reinforcement'!B39</f>
        <v>0.59166666666666656</v>
      </c>
      <c r="C9" t="s">
        <v>3637</v>
      </c>
    </row>
    <row r="10" spans="1:3">
      <c r="A10" t="s">
        <v>3723</v>
      </c>
      <c r="B10">
        <f>'Predictive Simulation'!B40</f>
        <v>0.30146666666666666</v>
      </c>
      <c r="C10" t="s">
        <v>3724</v>
      </c>
    </row>
    <row r="11" spans="1:3">
      <c r="A11" t="s">
        <v>3725</v>
      </c>
      <c r="B11" s="6">
        <f>'Attention Control'!B40</f>
        <v>0.9</v>
      </c>
      <c r="C11" t="s">
        <v>3726</v>
      </c>
    </row>
    <row r="12" spans="1:3">
      <c r="A12" t="s">
        <v>3257</v>
      </c>
      <c r="B12">
        <f>'Energy &amp; ATP System'!B41</f>
        <v>98.157081684644155</v>
      </c>
      <c r="C12" t="s">
        <v>3679</v>
      </c>
    </row>
    <row r="13" spans="1:3">
      <c r="A13" t="s">
        <v>3727</v>
      </c>
      <c r="B13" s="11">
        <f>AVERAGE('Sensory Integration'!L2:L16)</f>
        <v>1</v>
      </c>
      <c r="C13" t="s">
        <v>1170</v>
      </c>
    </row>
    <row r="14" spans="1:3">
      <c r="A14" t="s">
        <v>3728</v>
      </c>
      <c r="B14" s="6">
        <f>AVERAGE(B6:B13)</f>
        <v>12.941540357639344</v>
      </c>
      <c r="C14" t="s">
        <v>3729</v>
      </c>
    </row>
    <row r="15" spans="1:3">
      <c r="A15" t="s">
        <v>3730</v>
      </c>
      <c r="B15" s="6">
        <f>B7*B14</f>
        <v>12.941540357639344</v>
      </c>
      <c r="C15" t="s">
        <v>3731</v>
      </c>
    </row>
    <row r="16" spans="1:3">
      <c r="A16" t="s">
        <v>3732</v>
      </c>
      <c r="B16">
        <v>0.5</v>
      </c>
      <c r="C16" t="s">
        <v>3733</v>
      </c>
    </row>
    <row r="18" spans="1:9">
      <c r="A18" s="1" t="s">
        <v>3734</v>
      </c>
    </row>
    <row r="19" spans="1:9">
      <c r="A19" s="211" t="s">
        <v>2986</v>
      </c>
      <c r="B19" s="211" t="s">
        <v>1517</v>
      </c>
      <c r="C19" s="211" t="s">
        <v>3466</v>
      </c>
      <c r="D19" s="211" t="s">
        <v>880</v>
      </c>
      <c r="E19" s="211" t="s">
        <v>2227</v>
      </c>
      <c r="F19" s="211" t="s">
        <v>3399</v>
      </c>
      <c r="G19" s="211" t="s">
        <v>3401</v>
      </c>
      <c r="H19" s="211" t="s">
        <v>3735</v>
      </c>
      <c r="I19" s="211" t="s">
        <v>562</v>
      </c>
    </row>
    <row r="20" spans="1:9">
      <c r="A20" t="s">
        <v>3736</v>
      </c>
      <c r="B20" t="s">
        <v>3438</v>
      </c>
      <c r="C20" t="s">
        <v>3737</v>
      </c>
      <c r="D20" t="s">
        <v>3738</v>
      </c>
      <c r="E20">
        <v>0.2</v>
      </c>
      <c r="F20">
        <v>40</v>
      </c>
      <c r="G20">
        <f>$B$5</f>
        <v>50</v>
      </c>
      <c r="H20" s="9">
        <f>IF(G20&lt;F20,0,MIN(1,(G20-F20)/30))*E20*$B$6</f>
        <v>6.6666666666666666E-2</v>
      </c>
      <c r="I20" t="str">
        <f>IF(G20&lt;F20,"⏳ Dormant",IF(H20&gt;0.1,"✅ Active","🔄 Emerging"))</f>
        <v>🔄 Emerging</v>
      </c>
    </row>
    <row r="21" spans="1:9">
      <c r="A21" t="s">
        <v>3647</v>
      </c>
      <c r="B21" t="s">
        <v>1224</v>
      </c>
      <c r="C21" t="s">
        <v>3739</v>
      </c>
      <c r="D21" t="s">
        <v>3740</v>
      </c>
      <c r="E21">
        <v>0.15</v>
      </c>
      <c r="F21">
        <v>40</v>
      </c>
      <c r="G21">
        <f>$B$5</f>
        <v>50</v>
      </c>
      <c r="H21" s="9">
        <f>IF(G21&lt;F21,0,MIN(1,(G21-F21)/30))*E21*$B$6</f>
        <v>4.9999999999999996E-2</v>
      </c>
      <c r="I21" t="str">
        <f>IF(G21&lt;F21,"⏳ Dormant",IF(H21&gt;0.1,"✅ Active","🔄 Emerging"))</f>
        <v>🔄 Emerging</v>
      </c>
    </row>
    <row r="22" spans="1:9">
      <c r="A22" t="s">
        <v>1864</v>
      </c>
      <c r="B22" t="s">
        <v>3741</v>
      </c>
      <c r="C22" t="s">
        <v>3474</v>
      </c>
      <c r="D22" t="s">
        <v>3742</v>
      </c>
      <c r="E22">
        <v>0.15</v>
      </c>
      <c r="F22">
        <v>50</v>
      </c>
      <c r="G22">
        <f>$B$5</f>
        <v>50</v>
      </c>
      <c r="H22" s="9">
        <f>IF(G22&lt;F22,0,MIN(1,(G22-F22)/30))*E22*$B$6</f>
        <v>0</v>
      </c>
      <c r="I22" t="str">
        <f>IF(G22&lt;F22,"⏳ Dormant",IF(H22&gt;0.1,"✅ Active","🔄 Emerging"))</f>
        <v>🔄 Emerging</v>
      </c>
    </row>
    <row r="23" spans="1:9">
      <c r="A23" t="s">
        <v>3743</v>
      </c>
      <c r="B23" t="s">
        <v>3744</v>
      </c>
      <c r="C23" t="s">
        <v>3652</v>
      </c>
      <c r="D23" t="s">
        <v>3745</v>
      </c>
      <c r="E23">
        <v>0.1</v>
      </c>
      <c r="F23">
        <v>40</v>
      </c>
      <c r="G23">
        <f>$B$5</f>
        <v>50</v>
      </c>
      <c r="H23" s="9">
        <f>IF(G23&lt;F23,0,MIN(1,(G23-F23)/30))*E23*$B$6</f>
        <v>3.3333333333333333E-2</v>
      </c>
      <c r="I23" t="str">
        <f>IF(G23&lt;F23,"⏳ Dormant",IF(H23&gt;0.1,"✅ Active","🔄 Emerging"))</f>
        <v>🔄 Emerging</v>
      </c>
    </row>
    <row r="24" spans="1:9">
      <c r="A24" t="s">
        <v>3746</v>
      </c>
      <c r="B24" t="s">
        <v>3747</v>
      </c>
      <c r="C24" t="s">
        <v>3643</v>
      </c>
      <c r="D24" t="s">
        <v>3748</v>
      </c>
      <c r="E24">
        <v>0.1</v>
      </c>
      <c r="F24">
        <v>36</v>
      </c>
      <c r="G24">
        <f>$B$5</f>
        <v>50</v>
      </c>
      <c r="H24" s="9">
        <f>IF(G24&lt;F24,0,MIN(1,(G24-F24)/30))*E24*$B$6</f>
        <v>4.6666666666666669E-2</v>
      </c>
      <c r="I24" t="str">
        <f>IF(G24&lt;F24,"⏳ Dormant",IF(H24&gt;0.1,"✅ Active","🔄 Emerging"))</f>
        <v>🔄 Emerging</v>
      </c>
    </row>
    <row r="25" spans="1:9">
      <c r="A25" t="s">
        <v>3749</v>
      </c>
      <c r="B25" t="s">
        <v>3750</v>
      </c>
      <c r="C25" t="s">
        <v>1170</v>
      </c>
      <c r="D25" t="s">
        <v>3751</v>
      </c>
      <c r="E25">
        <v>0.1</v>
      </c>
      <c r="F25">
        <v>36</v>
      </c>
      <c r="G25">
        <f>$B$5</f>
        <v>50</v>
      </c>
      <c r="H25" s="9">
        <f>IF(G25&lt;F25,0,MIN(1,(G25-F25)/30))*E25*$B$6</f>
        <v>4.6666666666666669E-2</v>
      </c>
      <c r="I25" t="str">
        <f>IF(G25&lt;F25,"⏳ Dormant",IF(H25&gt;0.1,"✅ Active","🔄 Emerging"))</f>
        <v>🔄 Emerging</v>
      </c>
    </row>
    <row r="26" spans="1:9">
      <c r="A26" t="s">
        <v>3752</v>
      </c>
      <c r="B26" t="s">
        <v>3753</v>
      </c>
      <c r="C26" t="s">
        <v>3442</v>
      </c>
      <c r="D26" t="s">
        <v>3754</v>
      </c>
      <c r="E26">
        <v>0.08</v>
      </c>
      <c r="F26">
        <v>50</v>
      </c>
      <c r="G26">
        <f>$B$5</f>
        <v>50</v>
      </c>
      <c r="H26" s="9">
        <f>IF(G26&lt;F26,0,MIN(1,(G26-F26)/30))*E26*$B$6</f>
        <v>0</v>
      </c>
      <c r="I26" t="str">
        <f>IF(G26&lt;F26,"⏳ Dormant",IF(H26&gt;0.1,"✅ Active","🔄 Emerging"))</f>
        <v>🔄 Emerging</v>
      </c>
    </row>
    <row r="27" spans="1:9">
      <c r="A27" t="s">
        <v>1857</v>
      </c>
      <c r="B27" t="s">
        <v>1394</v>
      </c>
      <c r="C27" t="s">
        <v>3637</v>
      </c>
      <c r="D27" t="s">
        <v>3755</v>
      </c>
      <c r="E27">
        <v>7.0000000000000007E-2</v>
      </c>
      <c r="F27">
        <v>50</v>
      </c>
      <c r="G27">
        <f>$B$5</f>
        <v>50</v>
      </c>
      <c r="H27" s="9">
        <f>IF(G27&lt;F27,0,MIN(1,(G27-F27)/30))*E27*$B$6</f>
        <v>0</v>
      </c>
      <c r="I27" t="str">
        <f>IF(G27&lt;F27,"⏳ Dormant",IF(H27&gt;0.1,"✅ Active","🔄 Emerging"))</f>
        <v>🔄 Emerging</v>
      </c>
    </row>
    <row r="28" spans="1:9">
      <c r="A28" t="s">
        <v>3756</v>
      </c>
      <c r="B28" t="s">
        <v>3744</v>
      </c>
      <c r="C28" t="s">
        <v>3757</v>
      </c>
      <c r="D28" t="s">
        <v>3758</v>
      </c>
      <c r="E28">
        <v>0.03</v>
      </c>
      <c r="F28">
        <v>60</v>
      </c>
      <c r="G28">
        <f>$B$5</f>
        <v>50</v>
      </c>
      <c r="H28" s="9">
        <f>IF(G28&lt;F28,0,MIN(1,(G28-F28)/30))*E28*$B$6</f>
        <v>0</v>
      </c>
      <c r="I28" t="str">
        <f>IF(G28&lt;F28,"⏳ Dormant",IF(H28&gt;0.1,"✅ Active","🔄 Emerging"))</f>
        <v>⏳ Dormant</v>
      </c>
    </row>
    <row r="29" spans="1:9">
      <c r="A29" t="s">
        <v>3759</v>
      </c>
      <c r="B29" t="s">
        <v>3741</v>
      </c>
      <c r="C29" t="s">
        <v>3647</v>
      </c>
      <c r="D29" t="s">
        <v>3760</v>
      </c>
      <c r="E29">
        <v>0.02</v>
      </c>
      <c r="F29">
        <v>60</v>
      </c>
      <c r="G29">
        <f>$B$5</f>
        <v>50</v>
      </c>
      <c r="H29" s="9">
        <f>IF(G29&lt;F29,0,MIN(1,(G29-F29)/30))*E29*$B$6</f>
        <v>0</v>
      </c>
      <c r="I29" t="str">
        <f>IF(G29&lt;F29,"⏳ Dormant",IF(H29&gt;0.1,"✅ Active","🔄 Emerging"))</f>
        <v>⏳ Dormant</v>
      </c>
    </row>
    <row r="31" spans="1:9" ht="18.75">
      <c r="A31" s="14" t="s">
        <v>3761</v>
      </c>
    </row>
    <row r="32" spans="1:9">
      <c r="A32" s="249" t="s">
        <v>669</v>
      </c>
      <c r="B32" s="249" t="s">
        <v>592</v>
      </c>
      <c r="C32" s="249" t="s">
        <v>562</v>
      </c>
    </row>
    <row r="33" spans="1:4">
      <c r="A33" t="s">
        <v>829</v>
      </c>
      <c r="B33">
        <f>COUNTA(A20:A29)</f>
        <v>10</v>
      </c>
      <c r="C33" t="str">
        <f>""</f>
        <v/>
      </c>
    </row>
    <row r="34" spans="1:4">
      <c r="A34" t="s">
        <v>3762</v>
      </c>
      <c r="B34">
        <f>COUNTIF(I20:I29,"✅ Active")</f>
        <v>0</v>
      </c>
      <c r="C34" t="str">
        <f>""</f>
        <v/>
      </c>
    </row>
    <row r="35" spans="1:4">
      <c r="A35" t="s">
        <v>3763</v>
      </c>
      <c r="B35">
        <f>COUNTIF(I20:I29,"🔄 Emerging")</f>
        <v>8</v>
      </c>
      <c r="C35" t="str">
        <f>""</f>
        <v/>
      </c>
    </row>
    <row r="36" spans="1:4">
      <c r="A36" t="s">
        <v>3764</v>
      </c>
      <c r="B36">
        <f>COUNTIF(I20:I29,"⏳ Dormant")</f>
        <v>2</v>
      </c>
      <c r="C36" t="str">
        <f>""</f>
        <v/>
      </c>
    </row>
    <row r="37" spans="1:4">
      <c r="A37" t="s">
        <v>3765</v>
      </c>
      <c r="B37" s="6">
        <f>SUM(H20:H29)</f>
        <v>0.24333333333333332</v>
      </c>
      <c r="C37" t="str">
        <f>IF(B37&gt;0.5,"🌟 High",IF(B37&gt;0.25,"✨ Growing","💫 Emerging"))</f>
        <v>💫 Emerging</v>
      </c>
    </row>
    <row r="38" spans="1:4">
      <c r="A38" t="s">
        <v>3766</v>
      </c>
      <c r="B38" s="6">
        <f>B15</f>
        <v>12.941540357639344</v>
      </c>
      <c r="C38" t="str">
        <f>IF(B38&gt;0.5,"🪞 Self-Aware",IF(B38&gt;0.25,"🪞 Forming","🪞 Pre-Self"))</f>
        <v>🪞 Self-Aware</v>
      </c>
    </row>
    <row r="39" spans="1:4">
      <c r="A39" t="s">
        <v>3767</v>
      </c>
      <c r="B39" s="6">
        <f>B14</f>
        <v>12.941540357639344</v>
      </c>
      <c r="C39" t="str">
        <f>IF(B39&gt;0.5,"🔗 Integrated",IF(B39&gt;0.25,"🔗 Linking","🔗 Fragmented"))</f>
        <v>🔗 Integrated</v>
      </c>
    </row>
    <row r="40" spans="1:4">
      <c r="A40" t="s">
        <v>3768</v>
      </c>
      <c r="B40" s="9">
        <f>AVERAGE(H24:H26)</f>
        <v>3.1111111111111114E-2</v>
      </c>
      <c r="C40" t="str">
        <f>IF(B40&gt;0.05,"🌈 Unified",IF(B40&gt;0.02,"🌈 Binding","🌈 Scattered"))</f>
        <v>🌈 Binding</v>
      </c>
    </row>
    <row r="41" spans="1:4">
      <c r="A41" t="s">
        <v>3769</v>
      </c>
      <c r="B41" s="9">
        <f>AVERAGE(H23,H28,H29)</f>
        <v>1.1111111111111112E-2</v>
      </c>
      <c r="C41" t="str">
        <f>IF(B41&gt;0.03,"🎯 Agentic",IF(B41&gt;0.01,"🎯 Forming","🎯 Reactive"))</f>
        <v>🎯 Forming</v>
      </c>
    </row>
    <row r="42" spans="1:4">
      <c r="A42" t="s">
        <v>3770</v>
      </c>
      <c r="B42" t="str">
        <f>IF(B37&gt;B16,"🟢 CONSCIOUS",IF(B37&gt;B16*0.5,"🟡 PRE-CONSCIOUS","🔴 UNCONSCIOUS"))</f>
        <v>🔴 UNCONSCIOUS</v>
      </c>
      <c r="C42" t="str">
        <f>""</f>
        <v/>
      </c>
    </row>
    <row r="43" spans="1:4">
      <c r="A43" t="s">
        <v>3771</v>
      </c>
      <c r="B43" t="str">
        <f>IF(B37&gt;0.7,"🧠 AWARE",IF(B37&gt;0.4,"😶 SEMI-AWARE",IF(B37&gt;0.2,"💭 DREAMING","😴 DORMANT")))</f>
        <v>💭 DREAMING</v>
      </c>
      <c r="C43" t="str">
        <f>""</f>
        <v/>
      </c>
    </row>
    <row r="44" spans="1:4">
      <c r="A44" t="s">
        <v>3772</v>
      </c>
      <c r="B44" s="9">
        <f>B37/1*100</f>
        <v>24.333333333333332</v>
      </c>
      <c r="C44" t="str">
        <f>IF(B44&gt;70,"🌟 GENESIS COMPLETE",IF(B44&gt;40,"✨ AWAKENING",IF(B44&gt;20,"💫 EMERGING","🌑 FORMING")))</f>
        <v>💫 EMERGING</v>
      </c>
    </row>
    <row r="46" spans="1:4">
      <c r="A46" s="1" t="s">
        <v>3062</v>
      </c>
    </row>
    <row r="47" spans="1:4">
      <c r="A47" s="1" t="s">
        <v>3599</v>
      </c>
      <c r="B47" s="1" t="s">
        <v>3773</v>
      </c>
      <c r="C47" s="1" t="s">
        <v>2721</v>
      </c>
      <c r="D47" s="1" t="s">
        <v>562</v>
      </c>
    </row>
    <row r="48" spans="1:4">
      <c r="A48" t="s">
        <v>833</v>
      </c>
      <c r="B48" t="s">
        <v>1743</v>
      </c>
      <c r="C48" t="s">
        <v>3774</v>
      </c>
      <c r="D48" t="str">
        <f>"🟢 Active"</f>
        <v>🟢 Active</v>
      </c>
    </row>
    <row r="49" spans="1:4">
      <c r="A49" t="s">
        <v>3643</v>
      </c>
      <c r="B49" t="s">
        <v>3775</v>
      </c>
      <c r="C49" t="s">
        <v>3776</v>
      </c>
      <c r="D49" t="str">
        <f>IF($B$8&gt;0.3,"🟢 Active","🟡 Building")</f>
        <v>🟢 Active</v>
      </c>
    </row>
    <row r="50" spans="1:4">
      <c r="A50" t="s">
        <v>3777</v>
      </c>
      <c r="B50" t="s">
        <v>3778</v>
      </c>
      <c r="C50" t="s">
        <v>3779</v>
      </c>
      <c r="D50" t="str">
        <f>IF($B$9&gt;0.3,"🟢 Active","🟡 Building")</f>
        <v>🟢 Active</v>
      </c>
    </row>
    <row r="51" spans="1:4">
      <c r="A51" t="s">
        <v>3780</v>
      </c>
      <c r="B51" t="s">
        <v>3781</v>
      </c>
      <c r="C51" t="s">
        <v>3782</v>
      </c>
      <c r="D51" t="str">
        <f>IF($B$12&gt;50,"🟢 Active","🟡 Building")</f>
        <v>🟢 Active</v>
      </c>
    </row>
    <row r="52" spans="1:4">
      <c r="A52" t="s">
        <v>3724</v>
      </c>
      <c r="B52" t="s">
        <v>3549</v>
      </c>
      <c r="C52" t="s">
        <v>3783</v>
      </c>
      <c r="D52" t="str">
        <f>IF($B$10&gt;0.3,"🟢 Active","🟡 Building")</f>
        <v>🟢 Active</v>
      </c>
    </row>
    <row r="53" spans="1:4">
      <c r="A53" t="s">
        <v>3726</v>
      </c>
      <c r="B53" t="s">
        <v>1374</v>
      </c>
      <c r="C53" t="s">
        <v>3784</v>
      </c>
      <c r="D53" t="str">
        <f>IF($B$11&gt;0.3,"🟢 Active","🟡 Building")</f>
        <v>🟢 Active</v>
      </c>
    </row>
    <row r="54" spans="1:4">
      <c r="A54" t="s">
        <v>1170</v>
      </c>
      <c r="B54" t="s">
        <v>3466</v>
      </c>
      <c r="C54" t="s">
        <v>3785</v>
      </c>
      <c r="D54" t="str">
        <f>IF($B$13&gt;0.3,"🟢 Active","🟡 Building")</f>
        <v>🟢 Active</v>
      </c>
    </row>
    <row r="55" spans="1:4">
      <c r="A55" t="s">
        <v>3474</v>
      </c>
      <c r="B55" t="s">
        <v>868</v>
      </c>
      <c r="C55" t="s">
        <v>3786</v>
      </c>
      <c r="D55" t="str">
        <f>"🟢 Active"</f>
        <v>🟢 Active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A841-E743-41EE-8FCA-0D3D64007FEF}">
  <dimension ref="A1:P63"/>
  <sheetViews>
    <sheetView workbookViewId="0">
      <selection sqref="A1:P1"/>
    </sheetView>
  </sheetViews>
  <sheetFormatPr defaultRowHeight="15"/>
  <cols>
    <col min="1" max="1" width="19" customWidth="1"/>
    <col min="2" max="2" width="15.28515625" customWidth="1"/>
    <col min="3" max="3" width="11.42578125" customWidth="1"/>
    <col min="4" max="4" width="15.28515625" customWidth="1"/>
    <col min="5" max="5" width="14.28515625" customWidth="1"/>
    <col min="9" max="10" width="19" customWidth="1"/>
  </cols>
  <sheetData>
    <row r="1" spans="1:16" ht="21">
      <c r="A1" s="317" t="s">
        <v>3787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</row>
    <row r="3" spans="1:16" ht="15.75">
      <c r="A3" s="2" t="s">
        <v>559</v>
      </c>
    </row>
    <row r="4" spans="1:16">
      <c r="A4" s="8" t="s">
        <v>591</v>
      </c>
      <c r="B4" s="8">
        <f>'DNA Loop Engine'!B5</f>
        <v>50</v>
      </c>
      <c r="C4" s="8" t="s">
        <v>718</v>
      </c>
    </row>
    <row r="5" spans="1:16">
      <c r="A5" t="s">
        <v>563</v>
      </c>
      <c r="B5">
        <f>'DNA Loop Engine'!B5</f>
        <v>50</v>
      </c>
      <c r="C5" t="s">
        <v>2456</v>
      </c>
    </row>
    <row r="6" spans="1:16">
      <c r="A6" t="s">
        <v>3788</v>
      </c>
      <c r="B6">
        <v>0</v>
      </c>
      <c r="C6" t="s">
        <v>66</v>
      </c>
    </row>
    <row r="7" spans="1:16">
      <c r="A7" t="s">
        <v>3789</v>
      </c>
      <c r="B7">
        <v>0</v>
      </c>
      <c r="C7" t="s">
        <v>66</v>
      </c>
    </row>
    <row r="8" spans="1:16">
      <c r="A8" t="s">
        <v>3790</v>
      </c>
      <c r="B8">
        <v>0</v>
      </c>
      <c r="C8" t="s">
        <v>66</v>
      </c>
    </row>
    <row r="9" spans="1:16">
      <c r="A9" t="s">
        <v>3515</v>
      </c>
      <c r="B9">
        <v>8</v>
      </c>
      <c r="C9" t="s">
        <v>1146</v>
      </c>
    </row>
    <row r="10" spans="1:16">
      <c r="A10" t="s">
        <v>3791</v>
      </c>
      <c r="B10">
        <f>COUNTA(A15:A22)</f>
        <v>8</v>
      </c>
      <c r="C10" t="s">
        <v>3792</v>
      </c>
    </row>
    <row r="11" spans="1:16">
      <c r="A11" t="s">
        <v>3793</v>
      </c>
      <c r="B11" t="str">
        <f>ROUND(AVERAGE(L15:L22)*100,1)&amp;"%"</f>
        <v>76%</v>
      </c>
      <c r="C11" t="s">
        <v>3792</v>
      </c>
    </row>
    <row r="13" spans="1:16" ht="15.75">
      <c r="A13" s="2" t="s">
        <v>3794</v>
      </c>
    </row>
    <row r="14" spans="1:16">
      <c r="A14" s="10" t="s">
        <v>3795</v>
      </c>
      <c r="B14" s="10" t="s">
        <v>41</v>
      </c>
      <c r="C14" s="10" t="s">
        <v>3796</v>
      </c>
      <c r="D14" s="10" t="s">
        <v>3797</v>
      </c>
      <c r="E14" s="10" t="s">
        <v>1585</v>
      </c>
      <c r="F14" s="10" t="s">
        <v>3798</v>
      </c>
      <c r="G14" s="10" t="s">
        <v>3799</v>
      </c>
      <c r="H14" s="10" t="s">
        <v>3800</v>
      </c>
      <c r="I14" s="10" t="s">
        <v>3801</v>
      </c>
      <c r="J14" s="10" t="s">
        <v>3802</v>
      </c>
      <c r="K14" s="10" t="s">
        <v>3803</v>
      </c>
      <c r="L14" s="10" t="s">
        <v>3804</v>
      </c>
      <c r="M14" s="10" t="s">
        <v>3805</v>
      </c>
      <c r="N14" s="10" t="s">
        <v>3806</v>
      </c>
      <c r="O14" s="10" t="s">
        <v>3807</v>
      </c>
      <c r="P14" s="10" t="s">
        <v>562</v>
      </c>
    </row>
    <row r="15" spans="1:16">
      <c r="A15" s="250" t="s">
        <v>3808</v>
      </c>
      <c r="B15" s="250" t="s">
        <v>3809</v>
      </c>
      <c r="C15" s="250" t="s">
        <v>3810</v>
      </c>
      <c r="D15" s="250" t="s">
        <v>3811</v>
      </c>
      <c r="E15" s="250">
        <v>35</v>
      </c>
      <c r="F15" s="250">
        <v>10.5</v>
      </c>
      <c r="G15" s="250">
        <v>5.2</v>
      </c>
      <c r="H15" s="250">
        <v>0.9</v>
      </c>
      <c r="I15" s="250" t="s">
        <v>3812</v>
      </c>
      <c r="J15" s="250" t="s">
        <v>2529</v>
      </c>
      <c r="K15" s="250" t="s">
        <v>3813</v>
      </c>
      <c r="L15" s="252">
        <v>0.92</v>
      </c>
      <c r="M15" s="250" t="s">
        <v>3814</v>
      </c>
      <c r="N15" s="250" t="s">
        <v>3093</v>
      </c>
      <c r="O15" s="250" t="s">
        <v>3443</v>
      </c>
      <c r="P15" s="250" t="s">
        <v>1521</v>
      </c>
    </row>
    <row r="16" spans="1:16">
      <c r="A16" s="250" t="s">
        <v>3815</v>
      </c>
      <c r="B16" s="250" t="s">
        <v>3816</v>
      </c>
      <c r="C16" s="250" t="s">
        <v>3817</v>
      </c>
      <c r="D16" s="250" t="s">
        <v>3811</v>
      </c>
      <c r="E16" s="250">
        <v>33</v>
      </c>
      <c r="F16" s="250">
        <v>11.2</v>
      </c>
      <c r="G16" s="250">
        <v>5.8</v>
      </c>
      <c r="H16" s="250">
        <v>0.9</v>
      </c>
      <c r="I16" s="250" t="s">
        <v>3812</v>
      </c>
      <c r="J16" s="250" t="s">
        <v>2529</v>
      </c>
      <c r="K16" s="250" t="s">
        <v>3813</v>
      </c>
      <c r="L16" s="252">
        <v>0.88</v>
      </c>
      <c r="M16" s="250" t="s">
        <v>3295</v>
      </c>
      <c r="N16" s="250" t="s">
        <v>3093</v>
      </c>
      <c r="O16" s="250" t="s">
        <v>3443</v>
      </c>
      <c r="P16" s="250" t="s">
        <v>1521</v>
      </c>
    </row>
    <row r="17" spans="1:16">
      <c r="A17" s="251" t="s">
        <v>3818</v>
      </c>
      <c r="B17" s="251" t="s">
        <v>3819</v>
      </c>
      <c r="C17" s="251" t="s">
        <v>3810</v>
      </c>
      <c r="D17" s="251" t="s">
        <v>1972</v>
      </c>
      <c r="E17" s="251">
        <v>15</v>
      </c>
      <c r="F17" s="251">
        <v>8.3000000000000007</v>
      </c>
      <c r="G17" s="251">
        <v>4.0999999999999996</v>
      </c>
      <c r="H17" s="251">
        <v>0.9</v>
      </c>
      <c r="I17" s="251" t="s">
        <v>3812</v>
      </c>
      <c r="J17" s="251" t="s">
        <v>3820</v>
      </c>
      <c r="K17" s="251" t="s">
        <v>2490</v>
      </c>
      <c r="L17" s="253">
        <v>0.75</v>
      </c>
      <c r="M17" s="251" t="s">
        <v>3821</v>
      </c>
      <c r="N17" s="251" t="s">
        <v>3822</v>
      </c>
      <c r="O17" s="251" t="s">
        <v>3823</v>
      </c>
      <c r="P17" s="251" t="s">
        <v>3824</v>
      </c>
    </row>
    <row r="18" spans="1:16">
      <c r="A18" s="251" t="s">
        <v>3825</v>
      </c>
      <c r="B18" s="251" t="s">
        <v>3826</v>
      </c>
      <c r="C18" s="251" t="s">
        <v>3817</v>
      </c>
      <c r="D18" s="251" t="s">
        <v>1972</v>
      </c>
      <c r="E18" s="251">
        <v>14</v>
      </c>
      <c r="F18" s="251">
        <v>9.1</v>
      </c>
      <c r="G18" s="251">
        <v>4.5</v>
      </c>
      <c r="H18" s="251">
        <v>0.9</v>
      </c>
      <c r="I18" s="251" t="s">
        <v>3812</v>
      </c>
      <c r="J18" s="251" t="s">
        <v>3820</v>
      </c>
      <c r="K18" s="251" t="s">
        <v>2490</v>
      </c>
      <c r="L18" s="253">
        <v>0.78</v>
      </c>
      <c r="M18" s="251" t="s">
        <v>3827</v>
      </c>
      <c r="N18" s="251" t="s">
        <v>3822</v>
      </c>
      <c r="O18" s="251" t="s">
        <v>3823</v>
      </c>
      <c r="P18" s="251" t="s">
        <v>3824</v>
      </c>
    </row>
    <row r="19" spans="1:16">
      <c r="A19" s="61" t="s">
        <v>3828</v>
      </c>
      <c r="B19" s="61" t="s">
        <v>3829</v>
      </c>
      <c r="C19" s="61" t="s">
        <v>3810</v>
      </c>
      <c r="D19" s="61" t="s">
        <v>3830</v>
      </c>
      <c r="E19" s="61">
        <v>5</v>
      </c>
      <c r="F19" s="61">
        <v>12</v>
      </c>
      <c r="G19" s="61">
        <v>6.2</v>
      </c>
      <c r="H19" s="61">
        <v>0.5</v>
      </c>
      <c r="I19" s="61" t="s">
        <v>3812</v>
      </c>
      <c r="J19" s="61" t="s">
        <v>3831</v>
      </c>
      <c r="K19" s="61" t="s">
        <v>3309</v>
      </c>
      <c r="L19" s="62">
        <v>0.65</v>
      </c>
      <c r="M19" s="61" t="s">
        <v>3832</v>
      </c>
      <c r="N19" s="61" t="s">
        <v>3833</v>
      </c>
      <c r="O19" s="61" t="s">
        <v>3419</v>
      </c>
      <c r="P19" s="61" t="s">
        <v>3824</v>
      </c>
    </row>
    <row r="20" spans="1:16">
      <c r="A20" s="61" t="s">
        <v>3834</v>
      </c>
      <c r="B20" s="61" t="s">
        <v>3835</v>
      </c>
      <c r="C20" s="61" t="s">
        <v>3817</v>
      </c>
      <c r="D20" s="61" t="s">
        <v>3830</v>
      </c>
      <c r="E20" s="61">
        <v>4</v>
      </c>
      <c r="F20" s="61">
        <v>12.5</v>
      </c>
      <c r="G20" s="61">
        <v>6</v>
      </c>
      <c r="H20" s="61">
        <v>0.5</v>
      </c>
      <c r="I20" s="61" t="s">
        <v>3812</v>
      </c>
      <c r="J20" s="61" t="s">
        <v>3831</v>
      </c>
      <c r="K20" s="61" t="s">
        <v>3309</v>
      </c>
      <c r="L20" s="62">
        <v>0.68</v>
      </c>
      <c r="M20" s="61" t="s">
        <v>3836</v>
      </c>
      <c r="N20" s="61" t="s">
        <v>3833</v>
      </c>
      <c r="O20" s="61" t="s">
        <v>3419</v>
      </c>
      <c r="P20" s="61" t="s">
        <v>3824</v>
      </c>
    </row>
    <row r="21" spans="1:16">
      <c r="A21" s="3" t="s">
        <v>3837</v>
      </c>
      <c r="B21" s="3" t="s">
        <v>3838</v>
      </c>
      <c r="C21" s="3" t="s">
        <v>3810</v>
      </c>
      <c r="D21" s="3" t="s">
        <v>2075</v>
      </c>
      <c r="E21" s="3">
        <v>68</v>
      </c>
      <c r="F21" s="3">
        <v>5</v>
      </c>
      <c r="G21" s="3">
        <v>3</v>
      </c>
      <c r="H21" s="3">
        <v>0.9</v>
      </c>
      <c r="I21" s="3" t="s">
        <v>3812</v>
      </c>
      <c r="J21" s="3" t="s">
        <v>3839</v>
      </c>
      <c r="K21" s="3" t="s">
        <v>2490</v>
      </c>
      <c r="L21" s="67">
        <v>0.7</v>
      </c>
      <c r="M21" s="3" t="s">
        <v>3840</v>
      </c>
      <c r="N21" s="3" t="s">
        <v>3841</v>
      </c>
      <c r="O21" s="3" t="s">
        <v>3443</v>
      </c>
      <c r="P21" s="3" t="s">
        <v>1521</v>
      </c>
    </row>
    <row r="22" spans="1:16">
      <c r="A22" s="3" t="s">
        <v>3842</v>
      </c>
      <c r="B22" s="3" t="s">
        <v>3843</v>
      </c>
      <c r="C22" s="3" t="s">
        <v>3817</v>
      </c>
      <c r="D22" s="3" t="s">
        <v>2075</v>
      </c>
      <c r="E22" s="3">
        <v>65</v>
      </c>
      <c r="F22" s="3">
        <v>5.5</v>
      </c>
      <c r="G22" s="3">
        <v>3.2</v>
      </c>
      <c r="H22" s="3">
        <v>0.9</v>
      </c>
      <c r="I22" s="3" t="s">
        <v>3812</v>
      </c>
      <c r="J22" s="3" t="s">
        <v>3844</v>
      </c>
      <c r="K22" s="3" t="s">
        <v>2490</v>
      </c>
      <c r="L22" s="67">
        <v>0.72</v>
      </c>
      <c r="M22" s="3" t="s">
        <v>3845</v>
      </c>
      <c r="N22" s="3" t="s">
        <v>3841</v>
      </c>
      <c r="O22" s="3" t="s">
        <v>3443</v>
      </c>
      <c r="P22" s="3" t="s">
        <v>1521</v>
      </c>
    </row>
    <row r="25" spans="1:16" ht="15.75">
      <c r="A25" s="2" t="s">
        <v>3846</v>
      </c>
    </row>
    <row r="26" spans="1:16">
      <c r="A26" s="188" t="s">
        <v>3847</v>
      </c>
      <c r="B26" s="188" t="s">
        <v>3848</v>
      </c>
      <c r="C26" s="188" t="s">
        <v>3849</v>
      </c>
      <c r="D26" s="188" t="s">
        <v>3850</v>
      </c>
      <c r="E26" s="188" t="s">
        <v>3851</v>
      </c>
      <c r="F26" s="188" t="s">
        <v>1779</v>
      </c>
      <c r="G26" s="188" t="s">
        <v>3852</v>
      </c>
      <c r="H26" s="188" t="s">
        <v>504</v>
      </c>
    </row>
    <row r="27" spans="1:16">
      <c r="A27" s="61" t="s">
        <v>3808</v>
      </c>
      <c r="B27" s="61" t="s">
        <v>3815</v>
      </c>
      <c r="C27" s="61" t="s">
        <v>3853</v>
      </c>
      <c r="D27" s="61" t="s">
        <v>3854</v>
      </c>
      <c r="E27" s="61" t="s">
        <v>3333</v>
      </c>
      <c r="F27" s="61" t="s">
        <v>3855</v>
      </c>
      <c r="G27" s="62">
        <v>0.95</v>
      </c>
      <c r="H27" s="61" t="s">
        <v>3856</v>
      </c>
    </row>
    <row r="28" spans="1:16">
      <c r="A28" s="61" t="s">
        <v>3808</v>
      </c>
      <c r="B28" s="61" t="s">
        <v>3818</v>
      </c>
      <c r="C28" s="61" t="s">
        <v>3857</v>
      </c>
      <c r="D28" s="61" t="s">
        <v>3858</v>
      </c>
      <c r="E28" s="61" t="s">
        <v>3505</v>
      </c>
      <c r="F28" s="61" t="s">
        <v>3855</v>
      </c>
      <c r="G28" s="62">
        <v>0.85</v>
      </c>
      <c r="H28" s="61" t="s">
        <v>3859</v>
      </c>
    </row>
    <row r="29" spans="1:16">
      <c r="A29" s="61" t="s">
        <v>3808</v>
      </c>
      <c r="B29" s="61" t="s">
        <v>3828</v>
      </c>
      <c r="C29" s="61" t="s">
        <v>3857</v>
      </c>
      <c r="D29" s="61" t="s">
        <v>3860</v>
      </c>
      <c r="E29" s="61" t="s">
        <v>3505</v>
      </c>
      <c r="F29" s="61" t="s">
        <v>3861</v>
      </c>
      <c r="G29" s="62">
        <v>0.8</v>
      </c>
      <c r="H29" s="61" t="s">
        <v>3862</v>
      </c>
    </row>
    <row r="30" spans="1:16">
      <c r="A30" s="61" t="s">
        <v>3815</v>
      </c>
      <c r="B30" s="61" t="s">
        <v>3825</v>
      </c>
      <c r="C30" s="61" t="s">
        <v>3857</v>
      </c>
      <c r="D30" s="61" t="s">
        <v>3858</v>
      </c>
      <c r="E30" s="61" t="s">
        <v>3505</v>
      </c>
      <c r="F30" s="61" t="s">
        <v>3863</v>
      </c>
      <c r="G30" s="62">
        <v>0.88</v>
      </c>
      <c r="H30" s="61" t="s">
        <v>3864</v>
      </c>
    </row>
    <row r="31" spans="1:16">
      <c r="A31" s="61" t="s">
        <v>3815</v>
      </c>
      <c r="B31" s="61" t="s">
        <v>3834</v>
      </c>
      <c r="C31" s="61" t="s">
        <v>3857</v>
      </c>
      <c r="D31" s="61" t="s">
        <v>3860</v>
      </c>
      <c r="E31" s="61" t="s">
        <v>3505</v>
      </c>
      <c r="F31" s="61" t="s">
        <v>3861</v>
      </c>
      <c r="G31" s="62">
        <v>0.82</v>
      </c>
      <c r="H31" s="61" t="s">
        <v>3865</v>
      </c>
    </row>
    <row r="32" spans="1:16">
      <c r="A32" s="61" t="s">
        <v>3818</v>
      </c>
      <c r="B32" s="61" t="s">
        <v>3825</v>
      </c>
      <c r="C32" s="61" t="s">
        <v>3866</v>
      </c>
      <c r="D32" s="61" t="s">
        <v>3867</v>
      </c>
      <c r="E32" s="61" t="s">
        <v>3505</v>
      </c>
      <c r="F32" s="61" t="s">
        <v>3868</v>
      </c>
      <c r="G32" s="62">
        <v>0.75</v>
      </c>
      <c r="H32" s="61" t="s">
        <v>3869</v>
      </c>
    </row>
    <row r="33" spans="1:10">
      <c r="A33" s="61" t="s">
        <v>3828</v>
      </c>
      <c r="B33" s="61" t="s">
        <v>3834</v>
      </c>
      <c r="C33" s="61" t="s">
        <v>3866</v>
      </c>
      <c r="D33" s="61" t="s">
        <v>3870</v>
      </c>
      <c r="E33" s="61" t="s">
        <v>3505</v>
      </c>
      <c r="F33" s="61" t="s">
        <v>3871</v>
      </c>
      <c r="G33" s="62">
        <v>0.7</v>
      </c>
      <c r="H33" s="61" t="s">
        <v>3872</v>
      </c>
    </row>
    <row r="34" spans="1:10">
      <c r="A34" s="61" t="s">
        <v>3837</v>
      </c>
      <c r="B34" s="61" t="s">
        <v>3842</v>
      </c>
      <c r="C34" s="61" t="s">
        <v>3853</v>
      </c>
      <c r="D34" s="61" t="s">
        <v>3873</v>
      </c>
      <c r="E34" s="61" t="s">
        <v>3333</v>
      </c>
      <c r="F34" s="61" t="s">
        <v>3874</v>
      </c>
      <c r="G34" s="62">
        <v>0.9</v>
      </c>
      <c r="H34" s="61" t="s">
        <v>3875</v>
      </c>
    </row>
    <row r="35" spans="1:10">
      <c r="A35" s="61" t="s">
        <v>3837</v>
      </c>
      <c r="B35" s="61" t="s">
        <v>3808</v>
      </c>
      <c r="C35" s="61" t="s">
        <v>3876</v>
      </c>
      <c r="D35" s="61" t="s">
        <v>3877</v>
      </c>
      <c r="E35" s="61" t="s">
        <v>3505</v>
      </c>
      <c r="F35" s="61" t="s">
        <v>3878</v>
      </c>
      <c r="G35" s="62">
        <v>0.65</v>
      </c>
      <c r="H35" s="61" t="s">
        <v>3879</v>
      </c>
    </row>
    <row r="36" spans="1:10">
      <c r="A36" s="61" t="s">
        <v>3842</v>
      </c>
      <c r="B36" s="61" t="s">
        <v>3815</v>
      </c>
      <c r="C36" s="61" t="s">
        <v>3876</v>
      </c>
      <c r="D36" s="61" t="s">
        <v>3880</v>
      </c>
      <c r="E36" s="61" t="s">
        <v>3505</v>
      </c>
      <c r="F36" s="61" t="s">
        <v>3881</v>
      </c>
      <c r="G36" s="62">
        <v>0.68</v>
      </c>
      <c r="H36" s="61" t="s">
        <v>3882</v>
      </c>
    </row>
    <row r="39" spans="1:10" ht="15.75">
      <c r="A39" s="2" t="s">
        <v>3883</v>
      </c>
    </row>
    <row r="40" spans="1:10">
      <c r="A40" s="254" t="s">
        <v>1931</v>
      </c>
      <c r="B40" s="254" t="s">
        <v>1932</v>
      </c>
      <c r="C40" s="254" t="s">
        <v>3884</v>
      </c>
      <c r="D40" s="254" t="s">
        <v>3885</v>
      </c>
      <c r="E40" s="254" t="s">
        <v>1650</v>
      </c>
      <c r="F40" s="254" t="s">
        <v>3886</v>
      </c>
      <c r="G40" s="254" t="s">
        <v>3887</v>
      </c>
      <c r="H40" s="254" t="s">
        <v>1651</v>
      </c>
      <c r="I40" s="254" t="s">
        <v>3888</v>
      </c>
      <c r="J40" s="254" t="s">
        <v>3889</v>
      </c>
    </row>
    <row r="41" spans="1:10">
      <c r="A41" s="61" t="s">
        <v>3890</v>
      </c>
      <c r="B41" s="61" t="s">
        <v>3891</v>
      </c>
      <c r="C41" s="62">
        <v>0.2</v>
      </c>
      <c r="D41" s="62">
        <v>0.4</v>
      </c>
      <c r="E41" s="62">
        <v>0.1</v>
      </c>
      <c r="F41" s="62">
        <v>0.3</v>
      </c>
      <c r="G41" s="62">
        <v>0.15</v>
      </c>
      <c r="H41" s="62">
        <v>0.05</v>
      </c>
      <c r="I41" s="62">
        <v>0.2</v>
      </c>
      <c r="J41" s="62">
        <v>0.5</v>
      </c>
    </row>
    <row r="42" spans="1:10">
      <c r="A42" s="61" t="s">
        <v>554</v>
      </c>
      <c r="B42" s="61" t="s">
        <v>3892</v>
      </c>
      <c r="C42" s="62">
        <v>0.45</v>
      </c>
      <c r="D42" s="62">
        <v>0.6</v>
      </c>
      <c r="E42" s="62">
        <v>0.25</v>
      </c>
      <c r="F42" s="62">
        <v>0.45</v>
      </c>
      <c r="G42" s="62">
        <v>0.3</v>
      </c>
      <c r="H42" s="62">
        <v>0.2</v>
      </c>
      <c r="I42" s="62">
        <v>0.35</v>
      </c>
      <c r="J42" s="62">
        <v>0.6</v>
      </c>
    </row>
    <row r="43" spans="1:10">
      <c r="A43" s="190" t="s">
        <v>3830</v>
      </c>
      <c r="B43" s="190" t="s">
        <v>3893</v>
      </c>
      <c r="C43" s="255">
        <v>0.7</v>
      </c>
      <c r="D43" s="255">
        <v>0.8</v>
      </c>
      <c r="E43" s="255">
        <v>0.5</v>
      </c>
      <c r="F43" s="255">
        <v>0.6</v>
      </c>
      <c r="G43" s="255">
        <v>0.55000000000000004</v>
      </c>
      <c r="H43" s="255">
        <v>0.55000000000000004</v>
      </c>
      <c r="I43" s="255">
        <v>0.55000000000000004</v>
      </c>
      <c r="J43" s="255">
        <v>0.7</v>
      </c>
    </row>
    <row r="44" spans="1:10">
      <c r="A44" s="251" t="s">
        <v>1972</v>
      </c>
      <c r="B44" s="251" t="s">
        <v>3894</v>
      </c>
      <c r="C44" s="253">
        <v>0.85</v>
      </c>
      <c r="D44" s="253">
        <v>0.9</v>
      </c>
      <c r="E44" s="253">
        <v>0.7</v>
      </c>
      <c r="F44" s="253">
        <v>0.65</v>
      </c>
      <c r="G44" s="253">
        <v>0.7</v>
      </c>
      <c r="H44" s="253">
        <v>0.8</v>
      </c>
      <c r="I44" s="253">
        <v>0.7</v>
      </c>
      <c r="J44" s="253">
        <v>0.8</v>
      </c>
    </row>
    <row r="45" spans="1:10">
      <c r="A45" s="250" t="s">
        <v>2046</v>
      </c>
      <c r="B45" s="250" t="s">
        <v>3895</v>
      </c>
      <c r="C45" s="252">
        <v>1</v>
      </c>
      <c r="D45" s="252">
        <v>1</v>
      </c>
      <c r="E45" s="252">
        <v>0.9</v>
      </c>
      <c r="F45" s="252">
        <v>0.8</v>
      </c>
      <c r="G45" s="252">
        <v>0.85</v>
      </c>
      <c r="H45" s="252">
        <v>0.95</v>
      </c>
      <c r="I45" s="252">
        <v>0.85</v>
      </c>
      <c r="J45" s="252">
        <v>0.95</v>
      </c>
    </row>
    <row r="46" spans="1:10">
      <c r="A46" s="250" t="s">
        <v>3811</v>
      </c>
      <c r="B46" s="250" t="s">
        <v>3896</v>
      </c>
      <c r="C46" s="252">
        <v>0.95</v>
      </c>
      <c r="D46" s="252">
        <v>0.95</v>
      </c>
      <c r="E46" s="252">
        <v>1</v>
      </c>
      <c r="F46" s="252">
        <v>0.9</v>
      </c>
      <c r="G46" s="252">
        <v>0.95</v>
      </c>
      <c r="H46" s="252">
        <v>1</v>
      </c>
      <c r="I46" s="252">
        <v>0.95</v>
      </c>
      <c r="J46" s="252">
        <v>0.9</v>
      </c>
    </row>
    <row r="47" spans="1:10">
      <c r="A47" s="3" t="s">
        <v>3897</v>
      </c>
      <c r="B47" s="3" t="s">
        <v>3898</v>
      </c>
      <c r="C47" s="67">
        <v>0.85</v>
      </c>
      <c r="D47" s="67">
        <v>0.85</v>
      </c>
      <c r="E47" s="67">
        <v>0.95</v>
      </c>
      <c r="F47" s="67">
        <v>0.95</v>
      </c>
      <c r="G47" s="67">
        <v>0.9</v>
      </c>
      <c r="H47" s="67">
        <v>0.95</v>
      </c>
      <c r="I47" s="67">
        <v>0.9</v>
      </c>
      <c r="J47" s="67">
        <v>0.8</v>
      </c>
    </row>
    <row r="48" spans="1:10">
      <c r="A48" s="3" t="s">
        <v>2075</v>
      </c>
      <c r="B48" s="3" t="s">
        <v>3899</v>
      </c>
      <c r="C48" s="67">
        <v>0.7</v>
      </c>
      <c r="D48" s="67">
        <v>0.7</v>
      </c>
      <c r="E48" s="67">
        <v>0.9</v>
      </c>
      <c r="F48" s="67">
        <v>1</v>
      </c>
      <c r="G48" s="67">
        <v>0.85</v>
      </c>
      <c r="H48" s="67">
        <v>0.9</v>
      </c>
      <c r="I48" s="67">
        <v>0.85</v>
      </c>
      <c r="J48" s="67">
        <v>0.7</v>
      </c>
    </row>
    <row r="51" spans="1:10" ht="15.75">
      <c r="A51" s="2" t="s">
        <v>3900</v>
      </c>
      <c r="E51" s="2" t="s">
        <v>3901</v>
      </c>
      <c r="I51" s="2" t="s">
        <v>3902</v>
      </c>
    </row>
    <row r="52" spans="1:10">
      <c r="A52" s="256" t="s">
        <v>669</v>
      </c>
      <c r="B52" s="256" t="s">
        <v>592</v>
      </c>
      <c r="C52" s="256" t="s">
        <v>562</v>
      </c>
      <c r="E52" s="216" t="s">
        <v>3903</v>
      </c>
      <c r="F52" s="216" t="s">
        <v>3904</v>
      </c>
      <c r="G52" s="216" t="s">
        <v>2721</v>
      </c>
      <c r="I52" s="257" t="s">
        <v>2931</v>
      </c>
      <c r="J52" s="257" t="s">
        <v>3905</v>
      </c>
    </row>
    <row r="53" spans="1:10">
      <c r="A53" s="251" t="s">
        <v>3906</v>
      </c>
      <c r="B53" s="251">
        <f>B10</f>
        <v>8</v>
      </c>
      <c r="C53" s="251"/>
      <c r="E53" s="250" t="s">
        <v>833</v>
      </c>
      <c r="F53" s="250" t="s">
        <v>1987</v>
      </c>
      <c r="G53" s="250" t="s">
        <v>3907</v>
      </c>
      <c r="I53" s="3" t="s">
        <v>3908</v>
      </c>
      <c r="J53" s="3" t="s">
        <v>3909</v>
      </c>
    </row>
    <row r="54" spans="1:10">
      <c r="A54" s="251" t="s">
        <v>3910</v>
      </c>
      <c r="B54" s="251">
        <f>COUNTIF(D15:D22,"Adult")</f>
        <v>2</v>
      </c>
      <c r="C54" s="251"/>
      <c r="E54" s="250" t="s">
        <v>3911</v>
      </c>
      <c r="F54" s="250" t="s">
        <v>1987</v>
      </c>
      <c r="G54" s="250" t="s">
        <v>3912</v>
      </c>
      <c r="I54" s="3" t="s">
        <v>3913</v>
      </c>
      <c r="J54" s="3" t="s">
        <v>3914</v>
      </c>
    </row>
    <row r="55" spans="1:10">
      <c r="A55" s="251" t="s">
        <v>3915</v>
      </c>
      <c r="B55" s="251">
        <f>COUNTIF(D15:D22,"Adolescent")</f>
        <v>2</v>
      </c>
      <c r="C55" s="251"/>
      <c r="E55" s="250" t="s">
        <v>3474</v>
      </c>
      <c r="F55" s="250" t="s">
        <v>1987</v>
      </c>
      <c r="G55" s="250" t="s">
        <v>3916</v>
      </c>
      <c r="I55" s="3" t="s">
        <v>3917</v>
      </c>
      <c r="J55" s="3" t="s">
        <v>3918</v>
      </c>
    </row>
    <row r="56" spans="1:10">
      <c r="A56" s="251" t="s">
        <v>3919</v>
      </c>
      <c r="B56" s="251">
        <f>COUNTIF(D15:D22,"Child")</f>
        <v>2</v>
      </c>
      <c r="C56" s="251"/>
      <c r="E56" s="250" t="s">
        <v>3643</v>
      </c>
      <c r="F56" s="250" t="s">
        <v>1987</v>
      </c>
      <c r="G56" s="250" t="s">
        <v>3920</v>
      </c>
      <c r="I56" s="3" t="s">
        <v>3919</v>
      </c>
      <c r="J56" s="3" t="s">
        <v>3921</v>
      </c>
    </row>
    <row r="57" spans="1:10">
      <c r="A57" s="251" t="s">
        <v>3922</v>
      </c>
      <c r="B57" s="251">
        <f>COUNTIF(D15:D22,"Elder")</f>
        <v>2</v>
      </c>
      <c r="C57" s="251"/>
      <c r="E57" s="250" t="s">
        <v>3777</v>
      </c>
      <c r="F57" s="250" t="s">
        <v>1987</v>
      </c>
      <c r="G57" s="250" t="s">
        <v>3923</v>
      </c>
      <c r="I57" s="3"/>
      <c r="J57" s="3"/>
    </row>
    <row r="58" spans="1:10">
      <c r="A58" s="251" t="s">
        <v>3924</v>
      </c>
      <c r="B58" s="251" t="str">
        <f>COUNTIF(C15:C22,"M")&amp;":"&amp;COUNTIF(C15:C22,"F")</f>
        <v>4:4</v>
      </c>
      <c r="C58" s="251"/>
      <c r="E58" s="250" t="s">
        <v>3925</v>
      </c>
      <c r="F58" s="250" t="s">
        <v>1987</v>
      </c>
      <c r="G58" s="250" t="s">
        <v>3926</v>
      </c>
      <c r="I58" s="3" t="s">
        <v>3927</v>
      </c>
      <c r="J58" s="3">
        <f>B10</f>
        <v>8</v>
      </c>
    </row>
    <row r="59" spans="1:10">
      <c r="A59" s="251" t="s">
        <v>3928</v>
      </c>
      <c r="B59" s="251">
        <f>ROUND(AVERAGE(E15:E22),1)</f>
        <v>29.9</v>
      </c>
      <c r="C59" s="251"/>
      <c r="E59" s="250" t="s">
        <v>1170</v>
      </c>
      <c r="F59" s="250" t="s">
        <v>1987</v>
      </c>
      <c r="G59" s="250" t="s">
        <v>3929</v>
      </c>
      <c r="I59" s="3" t="s">
        <v>3930</v>
      </c>
      <c r="J59" s="3">
        <v>3</v>
      </c>
    </row>
    <row r="60" spans="1:10">
      <c r="A60" s="251" t="s">
        <v>3931</v>
      </c>
      <c r="B60" s="251" t="str">
        <f>ROUND(AVERAGE(L15:L22)*100,1)&amp;"%"</f>
        <v>76%</v>
      </c>
      <c r="C60" s="251"/>
      <c r="E60" s="250" t="s">
        <v>3072</v>
      </c>
      <c r="F60" s="250" t="s">
        <v>1987</v>
      </c>
      <c r="G60" s="250" t="s">
        <v>3932</v>
      </c>
      <c r="I60" s="3" t="s">
        <v>3933</v>
      </c>
      <c r="J60" s="3" t="str">
        <f>ROUND(AVERAGE(G27:G36)*100,1)&amp;"%"</f>
        <v>79.8%</v>
      </c>
    </row>
    <row r="61" spans="1:10">
      <c r="A61" s="251" t="s">
        <v>3791</v>
      </c>
      <c r="B61" s="251">
        <f>COUNTIF(P15:P22,"🟢 Active")</f>
        <v>4</v>
      </c>
      <c r="C61" s="251" t="s">
        <v>1521</v>
      </c>
      <c r="E61" s="250" t="s">
        <v>3297</v>
      </c>
      <c r="F61" s="250" t="s">
        <v>1987</v>
      </c>
      <c r="G61" s="250" t="s">
        <v>3934</v>
      </c>
    </row>
    <row r="62" spans="1:10">
      <c r="A62" s="251" t="s">
        <v>3935</v>
      </c>
      <c r="B62" s="251">
        <f>COUNTIF(P15:P22,"🟡 Developing")</f>
        <v>4</v>
      </c>
      <c r="C62" s="251" t="s">
        <v>3824</v>
      </c>
      <c r="E62" s="250" t="s">
        <v>3078</v>
      </c>
      <c r="F62" s="250" t="s">
        <v>1987</v>
      </c>
      <c r="G62" s="250" t="s">
        <v>3148</v>
      </c>
    </row>
    <row r="63" spans="1:10">
      <c r="A63" s="251" t="s">
        <v>3936</v>
      </c>
      <c r="B63" s="251">
        <f>COUNTA(C27:C36)</f>
        <v>10</v>
      </c>
      <c r="C63" s="251" t="s">
        <v>3937</v>
      </c>
    </row>
  </sheetData>
  <mergeCells count="1">
    <mergeCell ref="A1:P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30D95-BEE0-4CE4-91F2-EC1988F4BE7A}">
  <dimension ref="A1:L81"/>
  <sheetViews>
    <sheetView topLeftCell="A5" workbookViewId="0"/>
  </sheetViews>
  <sheetFormatPr defaultRowHeight="15"/>
  <cols>
    <col min="1" max="1" width="24.7109375" customWidth="1"/>
    <col min="2" max="2" width="19" customWidth="1"/>
    <col min="3" max="11" width="18.140625" customWidth="1"/>
    <col min="12" max="12" width="17.140625" customWidth="1"/>
  </cols>
  <sheetData>
    <row r="1" spans="1:12" ht="21">
      <c r="A1" s="242" t="s">
        <v>3938</v>
      </c>
    </row>
    <row r="3" spans="1:12" ht="15.75">
      <c r="A3" s="2" t="s">
        <v>559</v>
      </c>
    </row>
    <row r="4" spans="1:12">
      <c r="A4" s="228" t="s">
        <v>591</v>
      </c>
      <c r="B4" s="228">
        <f>'DNA Loop Engine'!B5</f>
        <v>50</v>
      </c>
      <c r="C4" s="228" t="s">
        <v>718</v>
      </c>
    </row>
    <row r="5" spans="1:12">
      <c r="A5" t="s">
        <v>563</v>
      </c>
      <c r="B5">
        <f>'DNA Loop Engine'!B5</f>
        <v>50</v>
      </c>
      <c r="C5" t="s">
        <v>2456</v>
      </c>
    </row>
    <row r="6" spans="1:12">
      <c r="A6" t="s">
        <v>3939</v>
      </c>
      <c r="B6">
        <f>'DNA Loop Engine'!B4</f>
        <v>4000</v>
      </c>
      <c r="C6" t="s">
        <v>2456</v>
      </c>
    </row>
    <row r="7" spans="1:12">
      <c r="A7" t="s">
        <v>581</v>
      </c>
      <c r="B7" s="6">
        <f>'DNA Loop Engine'!B19</f>
        <v>1</v>
      </c>
      <c r="C7" t="s">
        <v>2456</v>
      </c>
    </row>
    <row r="8" spans="1:12">
      <c r="A8" t="s">
        <v>579</v>
      </c>
      <c r="B8" s="6">
        <f>'DNA Loop Engine'!B18</f>
        <v>1</v>
      </c>
      <c r="C8" t="s">
        <v>2456</v>
      </c>
    </row>
    <row r="9" spans="1:12">
      <c r="A9" t="s">
        <v>3515</v>
      </c>
      <c r="B9">
        <f>COUNTA('NPC System'!A15:A22)</f>
        <v>8</v>
      </c>
      <c r="C9" t="s">
        <v>3940</v>
      </c>
    </row>
    <row r="10" spans="1:12">
      <c r="A10" t="s">
        <v>3791</v>
      </c>
      <c r="B10">
        <f>COUNTIF('NPC System'!I5:I12,"🟢 Active")</f>
        <v>0</v>
      </c>
      <c r="C10" t="s">
        <v>3940</v>
      </c>
    </row>
    <row r="11" spans="1:12">
      <c r="A11" t="s">
        <v>3935</v>
      </c>
      <c r="B11">
        <f>COUNTIF('NPC System'!I5:I12,"🟡 Developing")</f>
        <v>0</v>
      </c>
      <c r="C11" t="s">
        <v>3940</v>
      </c>
    </row>
    <row r="13" spans="1:12" ht="15.75">
      <c r="A13" s="2" t="s">
        <v>3941</v>
      </c>
    </row>
    <row r="14" spans="1:12">
      <c r="A14" s="263" t="s">
        <v>3942</v>
      </c>
      <c r="B14" s="263" t="s">
        <v>3943</v>
      </c>
      <c r="C14" s="263" t="s">
        <v>3944</v>
      </c>
      <c r="D14" s="263" t="s">
        <v>3802</v>
      </c>
      <c r="E14" s="263" t="s">
        <v>1588</v>
      </c>
      <c r="F14" s="263" t="s">
        <v>3945</v>
      </c>
      <c r="G14" s="263" t="s">
        <v>3946</v>
      </c>
      <c r="H14" s="263" t="s">
        <v>1553</v>
      </c>
      <c r="I14" s="263" t="s">
        <v>3947</v>
      </c>
      <c r="J14" s="263" t="s">
        <v>1364</v>
      </c>
      <c r="K14" s="263" t="s">
        <v>1394</v>
      </c>
      <c r="L14" s="263" t="s">
        <v>3948</v>
      </c>
    </row>
    <row r="15" spans="1:12">
      <c r="A15" s="264" t="s">
        <v>3890</v>
      </c>
      <c r="B15" s="264" t="s">
        <v>3949</v>
      </c>
      <c r="C15" s="264" t="s">
        <v>3950</v>
      </c>
      <c r="D15" s="264" t="s">
        <v>3831</v>
      </c>
      <c r="E15" s="264" t="s">
        <v>3951</v>
      </c>
      <c r="F15" s="264" t="s">
        <v>3952</v>
      </c>
      <c r="G15" s="264" t="s">
        <v>3953</v>
      </c>
      <c r="H15" s="264" t="s">
        <v>3954</v>
      </c>
      <c r="I15" s="264" t="s">
        <v>3419</v>
      </c>
      <c r="J15" s="264" t="s">
        <v>3952</v>
      </c>
      <c r="K15" s="264" t="s">
        <v>3954</v>
      </c>
      <c r="L15" s="264" t="s">
        <v>3955</v>
      </c>
    </row>
    <row r="16" spans="1:12">
      <c r="A16" s="265" t="s">
        <v>3830</v>
      </c>
      <c r="B16" s="265" t="s">
        <v>3956</v>
      </c>
      <c r="C16" s="265" t="s">
        <v>3957</v>
      </c>
      <c r="D16" s="265" t="s">
        <v>3958</v>
      </c>
      <c r="E16" s="265" t="s">
        <v>3959</v>
      </c>
      <c r="F16" s="265" t="s">
        <v>3960</v>
      </c>
      <c r="G16" s="265" t="s">
        <v>3960</v>
      </c>
      <c r="H16" s="265" t="s">
        <v>3960</v>
      </c>
      <c r="I16" s="265" t="s">
        <v>3823</v>
      </c>
      <c r="J16" s="265" t="s">
        <v>3960</v>
      </c>
      <c r="K16" s="265" t="s">
        <v>3960</v>
      </c>
      <c r="L16" s="265" t="s">
        <v>2490</v>
      </c>
    </row>
    <row r="17" spans="1:12">
      <c r="A17" s="266" t="s">
        <v>1972</v>
      </c>
      <c r="B17" s="266" t="s">
        <v>3961</v>
      </c>
      <c r="C17" s="266" t="s">
        <v>3962</v>
      </c>
      <c r="D17" s="266" t="s">
        <v>3963</v>
      </c>
      <c r="E17" s="266" t="s">
        <v>3953</v>
      </c>
      <c r="F17" s="266" t="s">
        <v>3953</v>
      </c>
      <c r="G17" s="266" t="s">
        <v>3951</v>
      </c>
      <c r="H17" s="266" t="s">
        <v>3964</v>
      </c>
      <c r="I17" s="266" t="s">
        <v>3965</v>
      </c>
      <c r="J17" s="266" t="s">
        <v>3964</v>
      </c>
      <c r="K17" s="266" t="s">
        <v>3953</v>
      </c>
      <c r="L17" s="266" t="s">
        <v>3966</v>
      </c>
    </row>
    <row r="18" spans="1:12">
      <c r="A18" s="267" t="s">
        <v>3811</v>
      </c>
      <c r="B18" s="267" t="s">
        <v>3967</v>
      </c>
      <c r="C18" s="267" t="s">
        <v>3968</v>
      </c>
      <c r="D18" s="267" t="s">
        <v>2529</v>
      </c>
      <c r="E18" s="267" t="s">
        <v>3969</v>
      </c>
      <c r="F18" s="267" t="s">
        <v>3964</v>
      </c>
      <c r="G18" s="267" t="s">
        <v>3970</v>
      </c>
      <c r="H18" s="267" t="s">
        <v>3951</v>
      </c>
      <c r="I18" s="267" t="s">
        <v>3443</v>
      </c>
      <c r="J18" s="267" t="s">
        <v>3951</v>
      </c>
      <c r="K18" s="267" t="s">
        <v>3951</v>
      </c>
      <c r="L18" s="267" t="s">
        <v>3966</v>
      </c>
    </row>
    <row r="19" spans="1:12">
      <c r="A19" s="268" t="s">
        <v>2075</v>
      </c>
      <c r="B19" s="268" t="s">
        <v>3971</v>
      </c>
      <c r="C19" s="268" t="s">
        <v>3972</v>
      </c>
      <c r="D19" s="268" t="s">
        <v>3973</v>
      </c>
      <c r="E19" s="268" t="s">
        <v>3954</v>
      </c>
      <c r="F19" s="268" t="s">
        <v>3960</v>
      </c>
      <c r="G19" s="268" t="s">
        <v>3952</v>
      </c>
      <c r="H19" s="268" t="s">
        <v>3974</v>
      </c>
      <c r="I19" s="268" t="s">
        <v>3443</v>
      </c>
      <c r="J19" s="268" t="s">
        <v>3975</v>
      </c>
      <c r="K19" s="268" t="s">
        <v>3976</v>
      </c>
      <c r="L19" s="268" t="s">
        <v>2490</v>
      </c>
    </row>
    <row r="21" spans="1:12" ht="15.75">
      <c r="A21" s="2" t="s">
        <v>3977</v>
      </c>
    </row>
    <row r="22" spans="1:12">
      <c r="A22" s="269" t="s">
        <v>3942</v>
      </c>
      <c r="B22" s="269" t="s">
        <v>3978</v>
      </c>
      <c r="C22" s="269" t="s">
        <v>3979</v>
      </c>
      <c r="D22" s="269" t="s">
        <v>3980</v>
      </c>
      <c r="E22" s="269" t="s">
        <v>2200</v>
      </c>
      <c r="F22" s="269" t="s">
        <v>3527</v>
      </c>
      <c r="G22" s="269" t="s">
        <v>1553</v>
      </c>
      <c r="H22" s="269" t="s">
        <v>3947</v>
      </c>
      <c r="I22" s="269" t="s">
        <v>1364</v>
      </c>
      <c r="J22" s="269" t="s">
        <v>1394</v>
      </c>
      <c r="K22" s="269" t="s">
        <v>2129</v>
      </c>
    </row>
    <row r="23" spans="1:12">
      <c r="A23" s="270" t="s">
        <v>3890</v>
      </c>
      <c r="B23" s="270">
        <v>0</v>
      </c>
      <c r="C23" s="270">
        <v>52</v>
      </c>
      <c r="D23" s="271">
        <v>0.9</v>
      </c>
      <c r="E23" s="271">
        <v>0.3</v>
      </c>
      <c r="F23" s="271">
        <v>0.8</v>
      </c>
      <c r="G23" s="271">
        <v>0.2</v>
      </c>
      <c r="H23" s="271">
        <v>0.2</v>
      </c>
      <c r="I23" s="271">
        <v>0.3</v>
      </c>
      <c r="J23" s="271">
        <v>0.2</v>
      </c>
      <c r="K23" s="271">
        <v>0.3</v>
      </c>
    </row>
    <row r="24" spans="1:12">
      <c r="A24" s="270" t="s">
        <v>3830</v>
      </c>
      <c r="B24" s="270">
        <v>52</v>
      </c>
      <c r="C24" s="270">
        <v>312</v>
      </c>
      <c r="D24" s="271">
        <v>0.6</v>
      </c>
      <c r="E24" s="271">
        <v>0.5</v>
      </c>
      <c r="F24" s="271">
        <v>0.5</v>
      </c>
      <c r="G24" s="271">
        <v>0.5</v>
      </c>
      <c r="H24" s="271">
        <v>0.5</v>
      </c>
      <c r="I24" s="271">
        <v>0.5</v>
      </c>
      <c r="J24" s="271">
        <v>0.5</v>
      </c>
      <c r="K24" s="271">
        <v>0.5</v>
      </c>
    </row>
    <row r="25" spans="1:12">
      <c r="A25" s="270" t="s">
        <v>1972</v>
      </c>
      <c r="B25" s="270">
        <v>312</v>
      </c>
      <c r="C25" s="270">
        <v>624</v>
      </c>
      <c r="D25" s="271">
        <v>0.8</v>
      </c>
      <c r="E25" s="271">
        <v>0.8</v>
      </c>
      <c r="F25" s="271">
        <v>0.9</v>
      </c>
      <c r="G25" s="271">
        <v>0.7</v>
      </c>
      <c r="H25" s="271">
        <v>0.7</v>
      </c>
      <c r="I25" s="271">
        <v>0.7</v>
      </c>
      <c r="J25" s="271">
        <v>0.8</v>
      </c>
      <c r="K25" s="271">
        <v>0.8</v>
      </c>
    </row>
    <row r="26" spans="1:12">
      <c r="A26" s="270" t="s">
        <v>3811</v>
      </c>
      <c r="B26" s="270">
        <v>624</v>
      </c>
      <c r="C26" s="270">
        <v>1560</v>
      </c>
      <c r="D26" s="271">
        <v>0.4</v>
      </c>
      <c r="E26" s="271">
        <v>0.7</v>
      </c>
      <c r="F26" s="271">
        <v>0.4</v>
      </c>
      <c r="G26" s="271">
        <v>0.9</v>
      </c>
      <c r="H26" s="271">
        <v>0.9</v>
      </c>
      <c r="I26" s="271">
        <v>0.9</v>
      </c>
      <c r="J26" s="271">
        <v>0.9</v>
      </c>
      <c r="K26" s="271">
        <v>0.9</v>
      </c>
    </row>
    <row r="27" spans="1:12">
      <c r="A27" s="272" t="s">
        <v>2075</v>
      </c>
      <c r="B27" s="272">
        <v>1560</v>
      </c>
      <c r="C27" s="272">
        <v>3120</v>
      </c>
      <c r="D27" s="273">
        <v>0.2</v>
      </c>
      <c r="E27" s="273">
        <v>0.5</v>
      </c>
      <c r="F27" s="273">
        <v>0.3</v>
      </c>
      <c r="G27" s="273">
        <v>1</v>
      </c>
      <c r="H27" s="273">
        <v>0.95</v>
      </c>
      <c r="I27" s="273">
        <v>0.6</v>
      </c>
      <c r="J27" s="273">
        <v>0.7</v>
      </c>
      <c r="K27" s="273">
        <v>0.6</v>
      </c>
    </row>
    <row r="29" spans="1:12" ht="15.75">
      <c r="A29" s="2" t="s">
        <v>3981</v>
      </c>
    </row>
    <row r="30" spans="1:12">
      <c r="A30" s="274" t="s">
        <v>3795</v>
      </c>
      <c r="B30" s="274" t="s">
        <v>41</v>
      </c>
      <c r="C30" s="274" t="s">
        <v>3982</v>
      </c>
      <c r="D30" s="274" t="s">
        <v>2045</v>
      </c>
      <c r="E30" s="274" t="s">
        <v>3980</v>
      </c>
      <c r="F30" s="274" t="s">
        <v>2200</v>
      </c>
      <c r="G30" s="274" t="s">
        <v>1553</v>
      </c>
      <c r="H30" s="274" t="s">
        <v>1364</v>
      </c>
      <c r="I30" s="274" t="s">
        <v>1394</v>
      </c>
      <c r="J30" s="274" t="s">
        <v>3983</v>
      </c>
      <c r="K30" s="274" t="s">
        <v>562</v>
      </c>
    </row>
    <row r="31" spans="1:12">
      <c r="A31" s="275" t="str">
        <f>'NPC System'!A15</f>
        <v>NPC-001</v>
      </c>
      <c r="B31" s="275" t="str">
        <f>'NPC System'!B15</f>
        <v>Alexis</v>
      </c>
      <c r="C31" s="275">
        <f>'NPC System'!E15*52</f>
        <v>1820</v>
      </c>
      <c r="D31" s="275" t="str">
        <f>IF(C31&lt;52,"Infant",IF(C31&lt;312,"Child",IF(C31&lt;624,"Adolescent",IF(C31&lt;1560,"Adult","Elder"))))</f>
        <v>Elder</v>
      </c>
      <c r="E31" s="276">
        <f>IF(D31="Infant",0.9,IF(D31="Child",0.6,IF(D31="Adolescent",0.8,IF(D31="Adult",0.4,0.2))))</f>
        <v>0.2</v>
      </c>
      <c r="F31" s="276">
        <f>IF(D31="Infant",0.3,IF(D31="Child",0.5,IF(D31="Adolescent",0.8,IF(D31="Adult",0.7,0.5))))</f>
        <v>0.5</v>
      </c>
      <c r="G31" s="276">
        <f>IF(D31="Infant",0.2,IF(D31="Child",0.5,IF(D31="Adolescent",0.7,IF(D31="Adult",0.9,1))))</f>
        <v>1</v>
      </c>
      <c r="H31" s="276">
        <f>IF(D31="Infant",0.3,IF(D31="Child",0.5,IF(D31="Adolescent",0.7,IF(D31="Adult",0.9,0.6))))</f>
        <v>0.6</v>
      </c>
      <c r="I31" s="276">
        <f>IF(D31="Infant",0.2,IF(D31="Child",0.5,IF(D31="Adolescent",0.8,IF(D31="Adult",0.9,0.7))))</f>
        <v>0.7</v>
      </c>
      <c r="J31" s="277">
        <f>AVERAGE(E31:I31)*100</f>
        <v>60</v>
      </c>
      <c r="K31" s="275" t="str">
        <f>IF(J31&gt;80,"🟢 Mature",IF(J31&gt;50,"🟡 Developing","🔴 Early"))</f>
        <v>🟡 Developing</v>
      </c>
    </row>
    <row r="32" spans="1:12">
      <c r="A32" s="275" t="str">
        <f>'NPC System'!A16</f>
        <v>NPC-002</v>
      </c>
      <c r="B32" s="275" t="str">
        <f>'NPC System'!B16</f>
        <v>Evelyn</v>
      </c>
      <c r="C32" s="275">
        <f>'NPC System'!E16*52</f>
        <v>1716</v>
      </c>
      <c r="D32" s="275" t="str">
        <f>IF(C32&lt;52,"Infant",IF(C32&lt;312,"Child",IF(C32&lt;624,"Adolescent",IF(C32&lt;1560,"Adult","Elder"))))</f>
        <v>Elder</v>
      </c>
      <c r="E32" s="276">
        <f>IF(D32="Infant",0.9,IF(D32="Child",0.6,IF(D32="Adolescent",0.8,IF(D32="Adult",0.4,0.2))))</f>
        <v>0.2</v>
      </c>
      <c r="F32" s="276">
        <f>IF(D32="Infant",0.3,IF(D32="Child",0.5,IF(D32="Adolescent",0.8,IF(D32="Adult",0.7,0.5))))</f>
        <v>0.5</v>
      </c>
      <c r="G32" s="276">
        <f>IF(D32="Infant",0.2,IF(D32="Child",0.5,IF(D32="Adolescent",0.7,IF(D32="Adult",0.9,1))))</f>
        <v>1</v>
      </c>
      <c r="H32" s="276">
        <f>IF(D32="Infant",0.3,IF(D32="Child",0.5,IF(D32="Adolescent",0.7,IF(D32="Adult",0.9,0.6))))</f>
        <v>0.6</v>
      </c>
      <c r="I32" s="276">
        <f>IF(D32="Infant",0.2,IF(D32="Child",0.5,IF(D32="Adolescent",0.8,IF(D32="Adult",0.9,0.7))))</f>
        <v>0.7</v>
      </c>
      <c r="J32" s="277">
        <f>AVERAGE(E32:I32)*100</f>
        <v>60</v>
      </c>
      <c r="K32" s="275" t="str">
        <f>IF(J32&gt;80,"🟢 Mature",IF(J32&gt;50,"🟡 Developing","🔴 Early"))</f>
        <v>🟡 Developing</v>
      </c>
    </row>
    <row r="33" spans="1:11">
      <c r="A33" s="275" t="str">
        <f>'NPC System'!A17</f>
        <v>NPC-003</v>
      </c>
      <c r="B33" s="275" t="str">
        <f>'NPC System'!B17</f>
        <v>Liam</v>
      </c>
      <c r="C33" s="275">
        <f>'NPC System'!E17*52</f>
        <v>780</v>
      </c>
      <c r="D33" s="275" t="str">
        <f>IF(C33&lt;52,"Infant",IF(C33&lt;312,"Child",IF(C33&lt;624,"Adolescent",IF(C33&lt;1560,"Adult","Elder"))))</f>
        <v>Adult</v>
      </c>
      <c r="E33" s="276">
        <f>IF(D33="Infant",0.9,IF(D33="Child",0.6,IF(D33="Adolescent",0.8,IF(D33="Adult",0.4,0.2))))</f>
        <v>0.4</v>
      </c>
      <c r="F33" s="276">
        <f>IF(D33="Infant",0.3,IF(D33="Child",0.5,IF(D33="Adolescent",0.8,IF(D33="Adult",0.7,0.5))))</f>
        <v>0.7</v>
      </c>
      <c r="G33" s="276">
        <f>IF(D33="Infant",0.2,IF(D33="Child",0.5,IF(D33="Adolescent",0.7,IF(D33="Adult",0.9,1))))</f>
        <v>0.9</v>
      </c>
      <c r="H33" s="276">
        <f>IF(D33="Infant",0.3,IF(D33="Child",0.5,IF(D33="Adolescent",0.7,IF(D33="Adult",0.9,0.6))))</f>
        <v>0.9</v>
      </c>
      <c r="I33" s="276">
        <f>IF(D33="Infant",0.2,IF(D33="Child",0.5,IF(D33="Adolescent",0.8,IF(D33="Adult",0.9,0.7))))</f>
        <v>0.9</v>
      </c>
      <c r="J33" s="277">
        <f>AVERAGE(E33:I33)*100</f>
        <v>76</v>
      </c>
      <c r="K33" s="275" t="str">
        <f>IF(J33&gt;80,"🟢 Mature",IF(J33&gt;50,"🟡 Developing","🔴 Early"))</f>
        <v>🟡 Developing</v>
      </c>
    </row>
    <row r="34" spans="1:11">
      <c r="A34" s="275" t="str">
        <f>'NPC System'!A18</f>
        <v>NPC-004</v>
      </c>
      <c r="B34" s="275" t="str">
        <f>'NPC System'!B18</f>
        <v>Sophia</v>
      </c>
      <c r="C34" s="275">
        <f>'NPC System'!E18*52</f>
        <v>728</v>
      </c>
      <c r="D34" s="275" t="str">
        <f>IF(C34&lt;52,"Infant",IF(C34&lt;312,"Child",IF(C34&lt;624,"Adolescent",IF(C34&lt;1560,"Adult","Elder"))))</f>
        <v>Adult</v>
      </c>
      <c r="E34" s="276">
        <f>IF(D34="Infant",0.9,IF(D34="Child",0.6,IF(D34="Adolescent",0.8,IF(D34="Adult",0.4,0.2))))</f>
        <v>0.4</v>
      </c>
      <c r="F34" s="276">
        <f>IF(D34="Infant",0.3,IF(D34="Child",0.5,IF(D34="Adolescent",0.8,IF(D34="Adult",0.7,0.5))))</f>
        <v>0.7</v>
      </c>
      <c r="G34" s="276">
        <f>IF(D34="Infant",0.2,IF(D34="Child",0.5,IF(D34="Adolescent",0.7,IF(D34="Adult",0.9,1))))</f>
        <v>0.9</v>
      </c>
      <c r="H34" s="276">
        <f>IF(D34="Infant",0.3,IF(D34="Child",0.5,IF(D34="Adolescent",0.7,IF(D34="Adult",0.9,0.6))))</f>
        <v>0.9</v>
      </c>
      <c r="I34" s="276">
        <f>IF(D34="Infant",0.2,IF(D34="Child",0.5,IF(D34="Adolescent",0.8,IF(D34="Adult",0.9,0.7))))</f>
        <v>0.9</v>
      </c>
      <c r="J34" s="277">
        <f>AVERAGE(E34:I34)*100</f>
        <v>76</v>
      </c>
      <c r="K34" s="275" t="str">
        <f>IF(J34&gt;80,"🟢 Mature",IF(J34&gt;50,"🟡 Developing","🔴 Early"))</f>
        <v>🟡 Developing</v>
      </c>
    </row>
    <row r="35" spans="1:11">
      <c r="A35" s="275" t="str">
        <f>'NPC System'!A19</f>
        <v>NPC-005</v>
      </c>
      <c r="B35" s="275" t="str">
        <f>'NPC System'!B19</f>
        <v>Noah</v>
      </c>
      <c r="C35" s="275">
        <f>'NPC System'!E19*52</f>
        <v>260</v>
      </c>
      <c r="D35" s="275" t="str">
        <f>IF(C35&lt;52,"Infant",IF(C35&lt;312,"Child",IF(C35&lt;624,"Adolescent",IF(C35&lt;1560,"Adult","Elder"))))</f>
        <v>Child</v>
      </c>
      <c r="E35" s="276">
        <f>IF(D35="Infant",0.9,IF(D35="Child",0.6,IF(D35="Adolescent",0.8,IF(D35="Adult",0.4,0.2))))</f>
        <v>0.6</v>
      </c>
      <c r="F35" s="276">
        <f>IF(D35="Infant",0.3,IF(D35="Child",0.5,IF(D35="Adolescent",0.8,IF(D35="Adult",0.7,0.5))))</f>
        <v>0.5</v>
      </c>
      <c r="G35" s="276">
        <f>IF(D35="Infant",0.2,IF(D35="Child",0.5,IF(D35="Adolescent",0.7,IF(D35="Adult",0.9,1))))</f>
        <v>0.5</v>
      </c>
      <c r="H35" s="276">
        <f>IF(D35="Infant",0.3,IF(D35="Child",0.5,IF(D35="Adolescent",0.7,IF(D35="Adult",0.9,0.6))))</f>
        <v>0.5</v>
      </c>
      <c r="I35" s="276">
        <f>IF(D35="Infant",0.2,IF(D35="Child",0.5,IF(D35="Adolescent",0.8,IF(D35="Adult",0.9,0.7))))</f>
        <v>0.5</v>
      </c>
      <c r="J35" s="277">
        <f>AVERAGE(E35:I35)*100</f>
        <v>52</v>
      </c>
      <c r="K35" s="275" t="str">
        <f>IF(J35&gt;80,"🟢 Mature",IF(J35&gt;50,"🟡 Developing","🔴 Early"))</f>
        <v>🟡 Developing</v>
      </c>
    </row>
    <row r="36" spans="1:11">
      <c r="A36" s="275" t="str">
        <f>'NPC System'!A20</f>
        <v>NPC-006</v>
      </c>
      <c r="B36" s="275" t="str">
        <f>'NPC System'!B20</f>
        <v>Emma</v>
      </c>
      <c r="C36" s="275">
        <f>'NPC System'!E20*52</f>
        <v>208</v>
      </c>
      <c r="D36" s="275" t="str">
        <f>IF(C36&lt;52,"Infant",IF(C36&lt;312,"Child",IF(C36&lt;624,"Adolescent",IF(C36&lt;1560,"Adult","Elder"))))</f>
        <v>Child</v>
      </c>
      <c r="E36" s="276">
        <f>IF(D36="Infant",0.9,IF(D36="Child",0.6,IF(D36="Adolescent",0.8,IF(D36="Adult",0.4,0.2))))</f>
        <v>0.6</v>
      </c>
      <c r="F36" s="276">
        <f>IF(D36="Infant",0.3,IF(D36="Child",0.5,IF(D36="Adolescent",0.8,IF(D36="Adult",0.7,0.5))))</f>
        <v>0.5</v>
      </c>
      <c r="G36" s="276">
        <f>IF(D36="Infant",0.2,IF(D36="Child",0.5,IF(D36="Adolescent",0.7,IF(D36="Adult",0.9,1))))</f>
        <v>0.5</v>
      </c>
      <c r="H36" s="276">
        <f>IF(D36="Infant",0.3,IF(D36="Child",0.5,IF(D36="Adolescent",0.7,IF(D36="Adult",0.9,0.6))))</f>
        <v>0.5</v>
      </c>
      <c r="I36" s="276">
        <f>IF(D36="Infant",0.2,IF(D36="Child",0.5,IF(D36="Adolescent",0.8,IF(D36="Adult",0.9,0.7))))</f>
        <v>0.5</v>
      </c>
      <c r="J36" s="277">
        <f>AVERAGE(E36:I36)*100</f>
        <v>52</v>
      </c>
      <c r="K36" s="275" t="str">
        <f>IF(J36&gt;80,"🟢 Mature",IF(J36&gt;50,"🟡 Developing","🔴 Early"))</f>
        <v>🟡 Developing</v>
      </c>
    </row>
    <row r="37" spans="1:11">
      <c r="A37" s="275" t="str">
        <f>'NPC System'!A21</f>
        <v>NPC-007</v>
      </c>
      <c r="B37" s="275" t="str">
        <f>'NPC System'!B21</f>
        <v>James</v>
      </c>
      <c r="C37" s="275">
        <f>'NPC System'!E21*52</f>
        <v>3536</v>
      </c>
      <c r="D37" s="275" t="str">
        <f>IF(C37&lt;52,"Infant",IF(C37&lt;312,"Child",IF(C37&lt;624,"Adolescent",IF(C37&lt;1560,"Adult","Elder"))))</f>
        <v>Elder</v>
      </c>
      <c r="E37" s="276">
        <f>IF(D37="Infant",0.9,IF(D37="Child",0.6,IF(D37="Adolescent",0.8,IF(D37="Adult",0.4,0.2))))</f>
        <v>0.2</v>
      </c>
      <c r="F37" s="276">
        <f>IF(D37="Infant",0.3,IF(D37="Child",0.5,IF(D37="Adolescent",0.8,IF(D37="Adult",0.7,0.5))))</f>
        <v>0.5</v>
      </c>
      <c r="G37" s="276">
        <f>IF(D37="Infant",0.2,IF(D37="Child",0.5,IF(D37="Adolescent",0.7,IF(D37="Adult",0.9,1))))</f>
        <v>1</v>
      </c>
      <c r="H37" s="276">
        <f>IF(D37="Infant",0.3,IF(D37="Child",0.5,IF(D37="Adolescent",0.7,IF(D37="Adult",0.9,0.6))))</f>
        <v>0.6</v>
      </c>
      <c r="I37" s="276">
        <f>IF(D37="Infant",0.2,IF(D37="Child",0.5,IF(D37="Adolescent",0.8,IF(D37="Adult",0.9,0.7))))</f>
        <v>0.7</v>
      </c>
      <c r="J37" s="277">
        <f>AVERAGE(E37:I37)*100</f>
        <v>60</v>
      </c>
      <c r="K37" s="275" t="str">
        <f>IF(J37&gt;80,"🟢 Mature",IF(J37&gt;50,"🟡 Developing","🔴 Early"))</f>
        <v>🟡 Developing</v>
      </c>
    </row>
    <row r="38" spans="1:11">
      <c r="A38" s="4" t="str">
        <f>'NPC System'!A22</f>
        <v>NPC-008</v>
      </c>
      <c r="B38" s="4" t="str">
        <f>'NPC System'!B22</f>
        <v>Olivia</v>
      </c>
      <c r="C38" s="4">
        <f>'NPC System'!E22*52</f>
        <v>3380</v>
      </c>
      <c r="D38" s="4" t="str">
        <f>IF(C38&lt;52,"Infant",IF(C38&lt;312,"Child",IF(C38&lt;624,"Adolescent",IF(C38&lt;1560,"Adult","Elder"))))</f>
        <v>Elder</v>
      </c>
      <c r="E38" s="278">
        <f>IF(D38="Infant",0.9,IF(D38="Child",0.6,IF(D38="Adolescent",0.8,IF(D38="Adult",0.4,0.2))))</f>
        <v>0.2</v>
      </c>
      <c r="F38" s="278">
        <f>IF(D38="Infant",0.3,IF(D38="Child",0.5,IF(D38="Adolescent",0.8,IF(D38="Adult",0.7,0.5))))</f>
        <v>0.5</v>
      </c>
      <c r="G38" s="278">
        <f>IF(D38="Infant",0.2,IF(D38="Child",0.5,IF(D38="Adolescent",0.7,IF(D38="Adult",0.9,1))))</f>
        <v>1</v>
      </c>
      <c r="H38" s="278">
        <f>IF(D38="Infant",0.3,IF(D38="Child",0.5,IF(D38="Adolescent",0.7,IF(D38="Adult",0.9,0.6))))</f>
        <v>0.6</v>
      </c>
      <c r="I38" s="278">
        <f>IF(D38="Infant",0.2,IF(D38="Child",0.5,IF(D38="Adolescent",0.8,IF(D38="Adult",0.9,0.7))))</f>
        <v>0.7</v>
      </c>
      <c r="J38" s="279">
        <f>AVERAGE(E38:I38)*100</f>
        <v>60</v>
      </c>
      <c r="K38" s="4" t="str">
        <f>IF(J38&gt;80,"🟢 Mature",IF(J38&gt;50,"🟡 Developing","🔴 Early"))</f>
        <v>🟡 Developing</v>
      </c>
    </row>
    <row r="40" spans="1:11" ht="15.75">
      <c r="A40" s="2" t="s">
        <v>3984</v>
      </c>
    </row>
    <row r="41" spans="1:11">
      <c r="A41" s="280" t="s">
        <v>3795</v>
      </c>
      <c r="B41" s="280" t="s">
        <v>41</v>
      </c>
      <c r="C41" s="280" t="s">
        <v>3985</v>
      </c>
      <c r="D41" s="280" t="s">
        <v>3986</v>
      </c>
      <c r="E41" s="280" t="s">
        <v>3987</v>
      </c>
      <c r="F41" s="280" t="s">
        <v>3988</v>
      </c>
      <c r="G41" s="280" t="s">
        <v>3989</v>
      </c>
      <c r="H41" s="280" t="s">
        <v>3990</v>
      </c>
      <c r="I41" s="280" t="s">
        <v>3991</v>
      </c>
      <c r="J41" s="280" t="s">
        <v>3992</v>
      </c>
      <c r="K41" s="280" t="s">
        <v>3993</v>
      </c>
    </row>
    <row r="42" spans="1:11">
      <c r="A42" s="281" t="str">
        <f>'NPC System'!A15</f>
        <v>NPC-001</v>
      </c>
      <c r="B42" s="281" t="str">
        <f>'NPC System'!B15</f>
        <v>Alexis</v>
      </c>
      <c r="C42" s="282">
        <v>0.7</v>
      </c>
      <c r="D42" s="282">
        <v>0.85</v>
      </c>
      <c r="E42" s="282">
        <v>0.6</v>
      </c>
      <c r="F42" s="282">
        <v>0.7</v>
      </c>
      <c r="G42" s="282">
        <v>0.3</v>
      </c>
      <c r="H42" s="281" t="str">
        <f>IF(D42&gt;0.7,"Analytical",IF(E42&gt;0.7,"Intuitive","Balanced"))</f>
        <v>Analytical</v>
      </c>
      <c r="I42" s="281" t="str">
        <f>IF(E42&gt;0.6,"Social",IF(E42&lt;0.4,"Reserved","Adaptive"))</f>
        <v>Adaptive</v>
      </c>
      <c r="J42" s="281" t="str">
        <f>IF(G42&lt;0.4,"High",IF(G42&gt;0.6,"Low","Moderate"))</f>
        <v>High</v>
      </c>
      <c r="K42" s="281" t="str">
        <f>IF(AND(D42&gt;0.7,C42&gt;0.6),"Architect",IF(AND(E42&gt;0.7,F42&gt;0.6),"Diplomat",IF(D42&gt;0.7,"Sentinel","Explorer")))</f>
        <v>Architect</v>
      </c>
    </row>
    <row r="43" spans="1:11">
      <c r="A43" s="281" t="str">
        <f>'NPC System'!A16</f>
        <v>NPC-002</v>
      </c>
      <c r="B43" s="281" t="str">
        <f>'NPC System'!B16</f>
        <v>Evelyn</v>
      </c>
      <c r="C43" s="282">
        <v>0.8</v>
      </c>
      <c r="D43" s="282">
        <v>0.7</v>
      </c>
      <c r="E43" s="282">
        <v>0.75</v>
      </c>
      <c r="F43" s="282">
        <v>0.9</v>
      </c>
      <c r="G43" s="282">
        <v>0.35</v>
      </c>
      <c r="H43" s="281" t="str">
        <f>IF(D43&gt;0.7,"Analytical",IF(E43&gt;0.7,"Intuitive","Balanced"))</f>
        <v>Intuitive</v>
      </c>
      <c r="I43" s="281" t="str">
        <f>IF(E43&gt;0.6,"Social",IF(E43&lt;0.4,"Reserved","Adaptive"))</f>
        <v>Social</v>
      </c>
      <c r="J43" s="281" t="str">
        <f>IF(G43&lt;0.4,"High",IF(G43&gt;0.6,"Low","Moderate"))</f>
        <v>High</v>
      </c>
      <c r="K43" s="281" t="str">
        <f>IF(AND(D43&gt;0.7,C43&gt;0.6),"Architect",IF(AND(E43&gt;0.7,F43&gt;0.6),"Diplomat",IF(D43&gt;0.7,"Sentinel","Explorer")))</f>
        <v>Diplomat</v>
      </c>
    </row>
    <row r="44" spans="1:11">
      <c r="A44" s="281" t="str">
        <f>'NPC System'!A17</f>
        <v>NPC-003</v>
      </c>
      <c r="B44" s="281" t="str">
        <f>'NPC System'!B17</f>
        <v>Liam</v>
      </c>
      <c r="C44" s="282">
        <v>0.85</v>
      </c>
      <c r="D44" s="282">
        <v>0.5</v>
      </c>
      <c r="E44" s="282">
        <v>0.7</v>
      </c>
      <c r="F44" s="282">
        <v>0.6</v>
      </c>
      <c r="G44" s="282">
        <v>0.6</v>
      </c>
      <c r="H44" s="281" t="str">
        <f>IF(D44&gt;0.7,"Analytical",IF(E44&gt;0.7,"Intuitive","Balanced"))</f>
        <v>Balanced</v>
      </c>
      <c r="I44" s="281" t="str">
        <f>IF(E44&gt;0.6,"Social",IF(E44&lt;0.4,"Reserved","Adaptive"))</f>
        <v>Social</v>
      </c>
      <c r="J44" s="281" t="str">
        <f>IF(G44&lt;0.4,"High",IF(G44&gt;0.6,"Low","Moderate"))</f>
        <v>Moderate</v>
      </c>
      <c r="K44" s="281" t="str">
        <f>IF(AND(D44&gt;0.7,C44&gt;0.6),"Architect",IF(AND(E44&gt;0.7,F44&gt;0.6),"Diplomat",IF(D44&gt;0.7,"Sentinel","Explorer")))</f>
        <v>Explorer</v>
      </c>
    </row>
    <row r="45" spans="1:11">
      <c r="A45" s="281" t="str">
        <f>'NPC System'!A18</f>
        <v>NPC-004</v>
      </c>
      <c r="B45" s="281" t="str">
        <f>'NPC System'!B18</f>
        <v>Sophia</v>
      </c>
      <c r="C45" s="282">
        <v>0.75</v>
      </c>
      <c r="D45" s="282">
        <v>0.6</v>
      </c>
      <c r="E45" s="282">
        <v>0.85</v>
      </c>
      <c r="F45" s="282">
        <v>0.8</v>
      </c>
      <c r="G45" s="282">
        <v>0.55000000000000004</v>
      </c>
      <c r="H45" s="281" t="str">
        <f>IF(D45&gt;0.7,"Analytical",IF(E45&gt;0.7,"Intuitive","Balanced"))</f>
        <v>Intuitive</v>
      </c>
      <c r="I45" s="281" t="str">
        <f>IF(E45&gt;0.6,"Social",IF(E45&lt;0.4,"Reserved","Adaptive"))</f>
        <v>Social</v>
      </c>
      <c r="J45" s="281" t="str">
        <f>IF(G45&lt;0.4,"High",IF(G45&gt;0.6,"Low","Moderate"))</f>
        <v>Moderate</v>
      </c>
      <c r="K45" s="281" t="str">
        <f>IF(AND(D45&gt;0.7,C45&gt;0.6),"Architect",IF(AND(E45&gt;0.7,F45&gt;0.6),"Diplomat",IF(D45&gt;0.7,"Sentinel","Explorer")))</f>
        <v>Diplomat</v>
      </c>
    </row>
    <row r="46" spans="1:11">
      <c r="A46" s="281" t="str">
        <f>'NPC System'!A19</f>
        <v>NPC-005</v>
      </c>
      <c r="B46" s="281" t="str">
        <f>'NPC System'!B19</f>
        <v>Noah</v>
      </c>
      <c r="C46" s="282">
        <v>0.9</v>
      </c>
      <c r="D46" s="282">
        <v>0.3</v>
      </c>
      <c r="E46" s="282">
        <v>0.8</v>
      </c>
      <c r="F46" s="282">
        <v>0.7</v>
      </c>
      <c r="G46" s="282">
        <v>0.5</v>
      </c>
      <c r="H46" s="281" t="str">
        <f>IF(D46&gt;0.7,"Analytical",IF(E46&gt;0.7,"Intuitive","Balanced"))</f>
        <v>Intuitive</v>
      </c>
      <c r="I46" s="281" t="str">
        <f>IF(E46&gt;0.6,"Social",IF(E46&lt;0.4,"Reserved","Adaptive"))</f>
        <v>Social</v>
      </c>
      <c r="J46" s="281" t="str">
        <f>IF(G46&lt;0.4,"High",IF(G46&gt;0.6,"Low","Moderate"))</f>
        <v>Moderate</v>
      </c>
      <c r="K46" s="281" t="str">
        <f>IF(AND(D46&gt;0.7,C46&gt;0.6),"Architect",IF(AND(E46&gt;0.7,F46&gt;0.6),"Diplomat",IF(D46&gt;0.7,"Sentinel","Explorer")))</f>
        <v>Diplomat</v>
      </c>
    </row>
    <row r="47" spans="1:11">
      <c r="A47" s="281" t="str">
        <f>'NPC System'!A20</f>
        <v>NPC-006</v>
      </c>
      <c r="B47" s="281" t="str">
        <f>'NPC System'!B20</f>
        <v>Emma</v>
      </c>
      <c r="C47" s="282">
        <v>0.85</v>
      </c>
      <c r="D47" s="282">
        <v>0.35</v>
      </c>
      <c r="E47" s="282">
        <v>0.9</v>
      </c>
      <c r="F47" s="282">
        <v>0.85</v>
      </c>
      <c r="G47" s="282">
        <v>0.45</v>
      </c>
      <c r="H47" s="281" t="str">
        <f>IF(D47&gt;0.7,"Analytical",IF(E47&gt;0.7,"Intuitive","Balanced"))</f>
        <v>Intuitive</v>
      </c>
      <c r="I47" s="281" t="str">
        <f>IF(E47&gt;0.6,"Social",IF(E47&lt;0.4,"Reserved","Adaptive"))</f>
        <v>Social</v>
      </c>
      <c r="J47" s="281" t="str">
        <f>IF(G47&lt;0.4,"High",IF(G47&gt;0.6,"Low","Moderate"))</f>
        <v>Moderate</v>
      </c>
      <c r="K47" s="281" t="str">
        <f>IF(AND(D47&gt;0.7,C47&gt;0.6),"Architect",IF(AND(E47&gt;0.7,F47&gt;0.6),"Diplomat",IF(D47&gt;0.7,"Sentinel","Explorer")))</f>
        <v>Diplomat</v>
      </c>
    </row>
    <row r="48" spans="1:11">
      <c r="A48" s="281" t="str">
        <f>'NPC System'!A21</f>
        <v>NPC-007</v>
      </c>
      <c r="B48" s="281" t="str">
        <f>'NPC System'!B21</f>
        <v>James</v>
      </c>
      <c r="C48" s="282">
        <v>0.65</v>
      </c>
      <c r="D48" s="282">
        <v>0.9</v>
      </c>
      <c r="E48" s="282">
        <v>0.5</v>
      </c>
      <c r="F48" s="282">
        <v>0.75</v>
      </c>
      <c r="G48" s="282">
        <v>0.2</v>
      </c>
      <c r="H48" s="281" t="str">
        <f>IF(D48&gt;0.7,"Analytical",IF(E48&gt;0.7,"Intuitive","Balanced"))</f>
        <v>Analytical</v>
      </c>
      <c r="I48" s="281" t="str">
        <f>IF(E48&gt;0.6,"Social",IF(E48&lt;0.4,"Reserved","Adaptive"))</f>
        <v>Adaptive</v>
      </c>
      <c r="J48" s="281" t="str">
        <f>IF(G48&lt;0.4,"High",IF(G48&gt;0.6,"Low","Moderate"))</f>
        <v>High</v>
      </c>
      <c r="K48" s="281" t="str">
        <f>IF(AND(D48&gt;0.7,C48&gt;0.6),"Architect",IF(AND(E48&gt;0.7,F48&gt;0.6),"Diplomat",IF(D48&gt;0.7,"Sentinel","Explorer")))</f>
        <v>Architect</v>
      </c>
    </row>
    <row r="49" spans="1:11">
      <c r="A49" s="283" t="str">
        <f>'NPC System'!A22</f>
        <v>NPC-008</v>
      </c>
      <c r="B49" s="283" t="str">
        <f>'NPC System'!B22</f>
        <v>Olivia</v>
      </c>
      <c r="C49" s="284">
        <v>0.7</v>
      </c>
      <c r="D49" s="284">
        <v>0.85</v>
      </c>
      <c r="E49" s="284">
        <v>0.6</v>
      </c>
      <c r="F49" s="284">
        <v>0.95</v>
      </c>
      <c r="G49" s="284">
        <v>0.25</v>
      </c>
      <c r="H49" s="283" t="str">
        <f>IF(D49&gt;0.7,"Analytical",IF(E49&gt;0.7,"Intuitive","Balanced"))</f>
        <v>Analytical</v>
      </c>
      <c r="I49" s="283" t="str">
        <f>IF(E49&gt;0.6,"Social",IF(E49&lt;0.4,"Reserved","Adaptive"))</f>
        <v>Adaptive</v>
      </c>
      <c r="J49" s="283" t="str">
        <f>IF(G49&lt;0.4,"High",IF(G49&gt;0.6,"Low","Moderate"))</f>
        <v>High</v>
      </c>
      <c r="K49" s="283" t="str">
        <f>IF(AND(D49&gt;0.7,C49&gt;0.6),"Architect",IF(AND(E49&gt;0.7,F49&gt;0.6),"Diplomat",IF(D49&gt;0.7,"Sentinel","Explorer")))</f>
        <v>Architect</v>
      </c>
    </row>
    <row r="51" spans="1:11" ht="15.75">
      <c r="A51" s="2" t="s">
        <v>3994</v>
      </c>
    </row>
    <row r="52" spans="1:11">
      <c r="A52" s="259" t="s">
        <v>2482</v>
      </c>
      <c r="B52" s="259" t="s">
        <v>3995</v>
      </c>
      <c r="C52" s="259" t="s">
        <v>3996</v>
      </c>
      <c r="D52" s="259" t="s">
        <v>3997</v>
      </c>
      <c r="E52" s="259" t="s">
        <v>3998</v>
      </c>
      <c r="F52" s="259" t="s">
        <v>3999</v>
      </c>
    </row>
    <row r="53" spans="1:11">
      <c r="A53" s="260" t="s">
        <v>4000</v>
      </c>
      <c r="B53" s="260" t="s">
        <v>4001</v>
      </c>
      <c r="C53" s="260" t="s">
        <v>4001</v>
      </c>
      <c r="D53" s="260" t="s">
        <v>2487</v>
      </c>
      <c r="E53" s="260" t="s">
        <v>4002</v>
      </c>
      <c r="F53" s="260">
        <v>0.15</v>
      </c>
    </row>
    <row r="54" spans="1:11">
      <c r="A54" s="260" t="s">
        <v>4003</v>
      </c>
      <c r="B54" s="260" t="s">
        <v>4004</v>
      </c>
      <c r="C54" s="260" t="s">
        <v>4005</v>
      </c>
      <c r="D54" s="260" t="s">
        <v>3309</v>
      </c>
      <c r="E54" s="260" t="s">
        <v>4006</v>
      </c>
      <c r="F54" s="260">
        <v>-0.1</v>
      </c>
    </row>
    <row r="55" spans="1:11">
      <c r="A55" s="260" t="s">
        <v>3822</v>
      </c>
      <c r="B55" s="260" t="s">
        <v>4007</v>
      </c>
      <c r="C55" s="260" t="s">
        <v>4008</v>
      </c>
      <c r="D55" s="260" t="s">
        <v>2487</v>
      </c>
      <c r="E55" s="260" t="s">
        <v>4009</v>
      </c>
      <c r="F55" s="260">
        <v>0.1</v>
      </c>
    </row>
    <row r="56" spans="1:11">
      <c r="A56" s="260" t="s">
        <v>4010</v>
      </c>
      <c r="B56" s="260" t="s">
        <v>4011</v>
      </c>
      <c r="C56" s="260" t="s">
        <v>4011</v>
      </c>
      <c r="D56" s="260" t="s">
        <v>3360</v>
      </c>
      <c r="E56" s="260" t="s">
        <v>4012</v>
      </c>
      <c r="F56" s="260">
        <v>0.2</v>
      </c>
    </row>
    <row r="57" spans="1:11">
      <c r="A57" s="260" t="s">
        <v>4013</v>
      </c>
      <c r="B57" s="260" t="s">
        <v>4014</v>
      </c>
      <c r="C57" s="260" t="s">
        <v>4007</v>
      </c>
      <c r="D57" s="260" t="s">
        <v>2487</v>
      </c>
      <c r="E57" s="260" t="s">
        <v>4015</v>
      </c>
      <c r="F57" s="260">
        <v>0.15</v>
      </c>
    </row>
    <row r="58" spans="1:11">
      <c r="A58" s="260" t="s">
        <v>4016</v>
      </c>
      <c r="B58" s="260" t="s">
        <v>4005</v>
      </c>
      <c r="C58" s="260" t="s">
        <v>4005</v>
      </c>
      <c r="D58" s="260" t="s">
        <v>1447</v>
      </c>
      <c r="E58" s="260" t="s">
        <v>4017</v>
      </c>
      <c r="F58" s="260">
        <v>0.05</v>
      </c>
    </row>
    <row r="59" spans="1:11">
      <c r="A59" s="260" t="s">
        <v>2491</v>
      </c>
      <c r="B59" s="260" t="s">
        <v>4001</v>
      </c>
      <c r="C59" s="260" t="s">
        <v>4004</v>
      </c>
      <c r="D59" s="260" t="s">
        <v>2487</v>
      </c>
      <c r="E59" s="260" t="s">
        <v>4018</v>
      </c>
      <c r="F59" s="260">
        <v>0.12</v>
      </c>
    </row>
    <row r="60" spans="1:11">
      <c r="A60" s="260" t="s">
        <v>4019</v>
      </c>
      <c r="B60" s="260" t="s">
        <v>4020</v>
      </c>
      <c r="C60" s="260" t="s">
        <v>4020</v>
      </c>
      <c r="D60" s="260" t="s">
        <v>3814</v>
      </c>
      <c r="E60" s="260" t="s">
        <v>3814</v>
      </c>
      <c r="F60" s="260">
        <v>0</v>
      </c>
    </row>
    <row r="62" spans="1:11" ht="15.75">
      <c r="A62" s="2" t="s">
        <v>4021</v>
      </c>
    </row>
    <row r="63" spans="1:11">
      <c r="A63" s="261" t="s">
        <v>2045</v>
      </c>
      <c r="B63" s="261" t="s">
        <v>4022</v>
      </c>
      <c r="C63" s="261" t="s">
        <v>4023</v>
      </c>
      <c r="D63" s="261" t="s">
        <v>4024</v>
      </c>
      <c r="E63" s="261" t="s">
        <v>4025</v>
      </c>
      <c r="F63" s="261" t="s">
        <v>4026</v>
      </c>
      <c r="G63" s="261" t="s">
        <v>4027</v>
      </c>
    </row>
    <row r="64" spans="1:11">
      <c r="A64" s="3" t="s">
        <v>3890</v>
      </c>
      <c r="B64" s="3" t="s">
        <v>4028</v>
      </c>
      <c r="C64" s="3" t="s">
        <v>4029</v>
      </c>
      <c r="D64" s="3" t="s">
        <v>3360</v>
      </c>
      <c r="E64" s="67">
        <v>0.9</v>
      </c>
      <c r="F64" s="67">
        <v>0.1</v>
      </c>
      <c r="G64" s="67">
        <v>0.1</v>
      </c>
    </row>
    <row r="65" spans="1:7">
      <c r="A65" s="3" t="s">
        <v>3830</v>
      </c>
      <c r="B65" s="3" t="s">
        <v>3423</v>
      </c>
      <c r="C65" s="3" t="s">
        <v>2487</v>
      </c>
      <c r="D65" s="3" t="s">
        <v>2487</v>
      </c>
      <c r="E65" s="67">
        <v>0.7</v>
      </c>
      <c r="F65" s="67">
        <v>0.3</v>
      </c>
      <c r="G65" s="67">
        <v>0.3</v>
      </c>
    </row>
    <row r="66" spans="1:7">
      <c r="A66" s="3" t="s">
        <v>1972</v>
      </c>
      <c r="B66" s="3" t="s">
        <v>2490</v>
      </c>
      <c r="C66" s="3" t="s">
        <v>2487</v>
      </c>
      <c r="D66" s="3" t="s">
        <v>3360</v>
      </c>
      <c r="E66" s="67">
        <v>0.6</v>
      </c>
      <c r="F66" s="67">
        <v>0.4</v>
      </c>
      <c r="G66" s="67">
        <v>0.5</v>
      </c>
    </row>
    <row r="67" spans="1:7">
      <c r="A67" s="3" t="s">
        <v>3811</v>
      </c>
      <c r="B67" s="3" t="s">
        <v>4030</v>
      </c>
      <c r="C67" s="3" t="s">
        <v>1447</v>
      </c>
      <c r="D67" s="3" t="s">
        <v>1447</v>
      </c>
      <c r="E67" s="67">
        <v>0.4</v>
      </c>
      <c r="F67" s="67">
        <v>0.6</v>
      </c>
      <c r="G67" s="67">
        <v>0.7</v>
      </c>
    </row>
    <row r="68" spans="1:7">
      <c r="A68" s="3" t="s">
        <v>2075</v>
      </c>
      <c r="B68" s="3" t="s">
        <v>4031</v>
      </c>
      <c r="C68" s="3" t="s">
        <v>3309</v>
      </c>
      <c r="D68" s="3" t="s">
        <v>1447</v>
      </c>
      <c r="E68" s="67">
        <v>0.3</v>
      </c>
      <c r="F68" s="67">
        <v>0.7</v>
      </c>
      <c r="G68" s="67">
        <v>0.9</v>
      </c>
    </row>
    <row r="70" spans="1:7" ht="15.75">
      <c r="A70" s="2" t="s">
        <v>4032</v>
      </c>
    </row>
    <row r="71" spans="1:7">
      <c r="A71" s="262" t="s">
        <v>669</v>
      </c>
      <c r="B71" s="262" t="s">
        <v>592</v>
      </c>
      <c r="D71" s="256" t="s">
        <v>4033</v>
      </c>
      <c r="E71" s="256" t="s">
        <v>592</v>
      </c>
    </row>
    <row r="72" spans="1:7">
      <c r="A72" s="61" t="s">
        <v>3515</v>
      </c>
      <c r="B72" s="61">
        <f>COUNTA(A31:A38)</f>
        <v>8</v>
      </c>
      <c r="D72" s="217" t="s">
        <v>4034</v>
      </c>
      <c r="E72" s="258">
        <f>AVERAGE(C42:C49)</f>
        <v>0.77500000000000002</v>
      </c>
    </row>
    <row r="73" spans="1:7">
      <c r="A73" s="61" t="s">
        <v>4035</v>
      </c>
      <c r="B73" s="61">
        <f>COUNTIF(D31:D38,"Infant")</f>
        <v>0</v>
      </c>
      <c r="D73" s="217" t="s">
        <v>4036</v>
      </c>
      <c r="E73" s="258">
        <f>AVERAGE(D42:D49)</f>
        <v>0.63124999999999998</v>
      </c>
    </row>
    <row r="74" spans="1:7">
      <c r="A74" s="61" t="s">
        <v>3919</v>
      </c>
      <c r="B74" s="61">
        <f>COUNTIF(D31:D38,"Child")</f>
        <v>2</v>
      </c>
      <c r="D74" s="217" t="s">
        <v>4037</v>
      </c>
      <c r="E74" s="258">
        <f>AVERAGE(E42:E49)</f>
        <v>0.71250000000000002</v>
      </c>
    </row>
    <row r="75" spans="1:7">
      <c r="A75" s="61" t="s">
        <v>3915</v>
      </c>
      <c r="B75" s="61">
        <f>COUNTIF(D31:D38,"Adolescent")</f>
        <v>0</v>
      </c>
      <c r="D75" s="217" t="s">
        <v>4038</v>
      </c>
      <c r="E75" s="258">
        <f>AVERAGE(F42:F49)</f>
        <v>0.78125</v>
      </c>
    </row>
    <row r="76" spans="1:7">
      <c r="A76" s="61" t="s">
        <v>3910</v>
      </c>
      <c r="B76" s="61">
        <f>COUNTIF(D31:D38,"Adult")</f>
        <v>2</v>
      </c>
      <c r="D76" s="217" t="s">
        <v>4039</v>
      </c>
      <c r="E76" s="258">
        <f>AVERAGE(G42:G49)</f>
        <v>0.4</v>
      </c>
    </row>
    <row r="77" spans="1:7">
      <c r="A77" s="61" t="s">
        <v>3922</v>
      </c>
      <c r="B77" s="61">
        <f>COUNTIF(D31:D38,"Elder")</f>
        <v>4</v>
      </c>
      <c r="D77" s="217" t="s">
        <v>4040</v>
      </c>
      <c r="E77" s="217">
        <f>COUNTIF(K42:K49,"Architect")</f>
        <v>3</v>
      </c>
    </row>
    <row r="78" spans="1:7">
      <c r="A78" s="61" t="s">
        <v>4041</v>
      </c>
      <c r="B78" s="62">
        <f>AVERAGE(J31:J38)</f>
        <v>62</v>
      </c>
      <c r="D78" s="217" t="s">
        <v>4042</v>
      </c>
      <c r="E78" s="217">
        <f>COUNTIF(K42:K49,"Diplomat")</f>
        <v>4</v>
      </c>
    </row>
    <row r="79" spans="1:7">
      <c r="A79" s="61" t="s">
        <v>4043</v>
      </c>
      <c r="B79" s="61">
        <f>COUNTIF(K31:K38,"*Mature*")</f>
        <v>0</v>
      </c>
      <c r="D79" s="217" t="s">
        <v>4044</v>
      </c>
      <c r="E79" s="217">
        <f>COUNTIF(K42:K49,"Sentinel")</f>
        <v>0</v>
      </c>
    </row>
    <row r="80" spans="1:7">
      <c r="A80" s="61" t="s">
        <v>4045</v>
      </c>
      <c r="B80" s="61">
        <f>COUNTIF(K31:K38,"*Developing*")</f>
        <v>8</v>
      </c>
      <c r="D80" s="217" t="s">
        <v>4046</v>
      </c>
      <c r="E80" s="217">
        <f>COUNTIF(K42:K49,"Explorer")</f>
        <v>1</v>
      </c>
    </row>
    <row r="81" spans="1:2">
      <c r="A81" s="61" t="s">
        <v>4047</v>
      </c>
      <c r="B81" s="61">
        <f>COUNTIF(K31:K38,"*Early*")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6EE11-F514-40C2-ACE0-6181EFC1798C}">
  <dimension ref="A1:L58"/>
  <sheetViews>
    <sheetView topLeftCell="A40" workbookViewId="0">
      <selection sqref="A1:L1"/>
    </sheetView>
  </sheetViews>
  <sheetFormatPr defaultRowHeight="15"/>
  <cols>
    <col min="1" max="1" width="26.7109375" customWidth="1"/>
    <col min="2" max="2" width="19" customWidth="1"/>
    <col min="3" max="3" width="15.28515625" customWidth="1"/>
    <col min="4" max="5" width="19" customWidth="1"/>
    <col min="6" max="6" width="22.85546875" customWidth="1"/>
    <col min="7" max="9" width="15.28515625" customWidth="1"/>
  </cols>
  <sheetData>
    <row r="1" spans="1:12" ht="21">
      <c r="A1" s="381" t="s">
        <v>4048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</row>
    <row r="3" spans="1:12">
      <c r="A3" s="285" t="s">
        <v>559</v>
      </c>
    </row>
    <row r="4" spans="1:12">
      <c r="A4" s="1" t="s">
        <v>563</v>
      </c>
      <c r="B4">
        <f>'DNA Loop Engine'!B5</f>
        <v>50</v>
      </c>
      <c r="C4" s="286" t="s">
        <v>2456</v>
      </c>
    </row>
    <row r="5" spans="1:12">
      <c r="A5" s="1" t="s">
        <v>561</v>
      </c>
      <c r="B5">
        <f>'DNA Loop Engine'!B4</f>
        <v>4000</v>
      </c>
      <c r="C5" s="286" t="s">
        <v>2456</v>
      </c>
    </row>
    <row r="6" spans="1:12">
      <c r="A6" s="1" t="s">
        <v>4049</v>
      </c>
      <c r="B6" t="str">
        <f>IF(MOD(B5,160)&lt;40,"🌅 Morning",IF(MOD(B5,160)&lt;80,"☀️ Midday",IF(MOD(B5,160)&lt;120,"🌆 Evening","🌙 Night")))</f>
        <v>🌅 Morning</v>
      </c>
      <c r="C6" s="286" t="s">
        <v>3792</v>
      </c>
    </row>
    <row r="7" spans="1:12">
      <c r="A7" s="1" t="s">
        <v>4050</v>
      </c>
      <c r="B7" t="str">
        <f>IF(MOD(B5,160)&lt;80,"Active Phase","Rest Phase")</f>
        <v>Active Phase</v>
      </c>
      <c r="C7" s="286" t="s">
        <v>3792</v>
      </c>
    </row>
    <row r="8" spans="1:12">
      <c r="A8" s="1" t="s">
        <v>4051</v>
      </c>
      <c r="B8" t="str">
        <f>IF(MOD(B5,160)&lt;80,"☀️ DAY","🌙 NIGHT")</f>
        <v>☀️ DAY</v>
      </c>
      <c r="C8" s="286" t="s">
        <v>3792</v>
      </c>
    </row>
    <row r="9" spans="1:12">
      <c r="A9" s="1" t="s">
        <v>3265</v>
      </c>
      <c r="B9">
        <f>IF(MOD(B5,160)&lt;80,0.8+0.2*SIN(PI()*MOD(B5,160)/80),0.1)</f>
        <v>0.8</v>
      </c>
      <c r="C9" s="286" t="s">
        <v>3623</v>
      </c>
    </row>
    <row r="10" spans="1:12">
      <c r="A10" s="1" t="s">
        <v>4052</v>
      </c>
      <c r="B10">
        <f>MOD(FLOOR(MOD(B5,160)/6.67,1),24)</f>
        <v>0</v>
      </c>
      <c r="C10" s="286" t="s">
        <v>4053</v>
      </c>
    </row>
    <row r="11" spans="1:12">
      <c r="A11" s="1" t="s">
        <v>4054</v>
      </c>
      <c r="B11">
        <f>IF(B8="🌙 NIGHT",0.8,0.2)</f>
        <v>0.2</v>
      </c>
      <c r="C11" s="286" t="s">
        <v>2558</v>
      </c>
    </row>
    <row r="12" spans="1:12">
      <c r="A12" s="1" t="s">
        <v>3521</v>
      </c>
      <c r="B12">
        <f>IF(B8="☀️ DAY",0.7,0.3)</f>
        <v>0.7</v>
      </c>
      <c r="C12" s="286" t="s">
        <v>2558</v>
      </c>
    </row>
    <row r="14" spans="1:12">
      <c r="A14" s="152" t="s">
        <v>41</v>
      </c>
      <c r="B14" s="152" t="s">
        <v>1517</v>
      </c>
      <c r="C14" s="152" t="s">
        <v>1766</v>
      </c>
      <c r="D14" s="152" t="s">
        <v>1767</v>
      </c>
      <c r="E14" s="152" t="s">
        <v>4055</v>
      </c>
      <c r="F14" s="152" t="s">
        <v>4056</v>
      </c>
      <c r="G14" s="152" t="s">
        <v>47</v>
      </c>
      <c r="H14" s="152" t="s">
        <v>562</v>
      </c>
      <c r="I14" s="152" t="s">
        <v>3583</v>
      </c>
    </row>
    <row r="15" spans="1:12">
      <c r="A15" t="s">
        <v>4057</v>
      </c>
      <c r="B15" t="s">
        <v>966</v>
      </c>
      <c r="C15" t="s">
        <v>4058</v>
      </c>
      <c r="D15" t="s">
        <v>3679</v>
      </c>
      <c r="E15" t="s">
        <v>4059</v>
      </c>
      <c r="F15" t="s">
        <v>2487</v>
      </c>
      <c r="G15" t="s">
        <v>4060</v>
      </c>
      <c r="H15" t="str">
        <f>IF($B$8="☀️ DAY","🟢 Active","⏸️ Paused")</f>
        <v>🟢 Active</v>
      </c>
      <c r="I15" s="11">
        <f>IF($B$8="☀️ DAY",0.85,0.3)</f>
        <v>0.85</v>
      </c>
    </row>
    <row r="16" spans="1:12">
      <c r="A16" t="s">
        <v>3223</v>
      </c>
      <c r="B16" t="s">
        <v>966</v>
      </c>
      <c r="C16" t="s">
        <v>3348</v>
      </c>
      <c r="D16" t="s">
        <v>3679</v>
      </c>
      <c r="E16" t="s">
        <v>4059</v>
      </c>
      <c r="F16" t="s">
        <v>2490</v>
      </c>
      <c r="G16" t="s">
        <v>4060</v>
      </c>
      <c r="H16" t="str">
        <f>IF($B$8="☀️ DAY","🟢 Active","🟡 Low")</f>
        <v>🟢 Active</v>
      </c>
      <c r="I16" s="11">
        <f>IF($B$8="☀️ DAY",0.8,0.6)</f>
        <v>0.8</v>
      </c>
    </row>
    <row r="17" spans="1:12">
      <c r="A17" t="s">
        <v>4061</v>
      </c>
      <c r="B17" t="s">
        <v>3679</v>
      </c>
      <c r="C17" t="s">
        <v>3474</v>
      </c>
      <c r="D17" t="s">
        <v>3643</v>
      </c>
      <c r="E17" t="s">
        <v>4062</v>
      </c>
      <c r="F17" t="s">
        <v>3309</v>
      </c>
      <c r="G17" t="s">
        <v>1553</v>
      </c>
      <c r="H17" t="str">
        <f>IF($B$8="🌙 NIGHT","🟢 Active","⏸️ Paused")</f>
        <v>⏸️ Paused</v>
      </c>
      <c r="I17" s="11">
        <f>IF($B$8="🌙 NIGHT",0.7,0.2)</f>
        <v>0.2</v>
      </c>
    </row>
    <row r="18" spans="1:12">
      <c r="A18" t="s">
        <v>4063</v>
      </c>
      <c r="B18" t="s">
        <v>3474</v>
      </c>
      <c r="C18" t="s">
        <v>3643</v>
      </c>
      <c r="D18" t="s">
        <v>3679</v>
      </c>
      <c r="E18" t="s">
        <v>4059</v>
      </c>
      <c r="F18" t="s">
        <v>2487</v>
      </c>
      <c r="G18" t="s">
        <v>1563</v>
      </c>
      <c r="H18" t="str">
        <f>IF($B$8="🌙 NIGHT","🟢 Active","⏸️ Paused")</f>
        <v>⏸️ Paused</v>
      </c>
      <c r="I18" s="11">
        <f>IF($B$8="🌙 NIGHT",0.95,0.1)</f>
        <v>0.1</v>
      </c>
    </row>
    <row r="19" spans="1:12">
      <c r="A19" t="s">
        <v>4064</v>
      </c>
      <c r="B19" t="s">
        <v>3679</v>
      </c>
      <c r="C19" t="s">
        <v>4065</v>
      </c>
      <c r="D19" t="s">
        <v>3474</v>
      </c>
      <c r="E19" t="s">
        <v>4059</v>
      </c>
      <c r="F19" t="s">
        <v>2487</v>
      </c>
      <c r="G19" t="s">
        <v>65</v>
      </c>
      <c r="H19" t="str">
        <f>IF($B$8="☀️ DAY","🟢 Active","⏸️ Paused")</f>
        <v>🟢 Active</v>
      </c>
      <c r="I19" s="11">
        <f>IF($B$8="☀️ DAY",0.9,0.2)</f>
        <v>0.9</v>
      </c>
    </row>
    <row r="20" spans="1:12">
      <c r="A20" t="s">
        <v>4066</v>
      </c>
      <c r="B20" t="s">
        <v>1578</v>
      </c>
      <c r="C20" t="s">
        <v>3679</v>
      </c>
      <c r="D20" t="s">
        <v>3474</v>
      </c>
      <c r="E20" t="s">
        <v>4067</v>
      </c>
      <c r="F20" t="s">
        <v>3149</v>
      </c>
      <c r="G20" t="s">
        <v>3434</v>
      </c>
      <c r="H20" t="s">
        <v>4068</v>
      </c>
      <c r="I20" s="11">
        <f>0.5+$B$9*0.5</f>
        <v>0.9</v>
      </c>
    </row>
    <row r="21" spans="1:12">
      <c r="A21" t="s">
        <v>4069</v>
      </c>
      <c r="B21" t="s">
        <v>966</v>
      </c>
      <c r="C21" t="s">
        <v>4070</v>
      </c>
      <c r="D21" t="s">
        <v>3679</v>
      </c>
      <c r="E21" t="s">
        <v>4067</v>
      </c>
      <c r="F21" t="s">
        <v>2490</v>
      </c>
      <c r="G21" t="s">
        <v>4060</v>
      </c>
      <c r="H21" t="s">
        <v>4068</v>
      </c>
      <c r="I21" s="11">
        <f>0.75</f>
        <v>0.75</v>
      </c>
    </row>
    <row r="22" spans="1:12">
      <c r="A22" t="s">
        <v>4071</v>
      </c>
      <c r="B22" t="s">
        <v>3679</v>
      </c>
      <c r="C22" t="s">
        <v>3474</v>
      </c>
      <c r="D22" t="s">
        <v>3637</v>
      </c>
      <c r="E22" t="s">
        <v>4067</v>
      </c>
      <c r="F22" t="s">
        <v>2158</v>
      </c>
      <c r="G22" t="s">
        <v>3434</v>
      </c>
      <c r="H22" t="s">
        <v>4068</v>
      </c>
      <c r="I22" s="11">
        <f>0.6+$B$11*0.2</f>
        <v>0.64</v>
      </c>
    </row>
    <row r="23" spans="1:12">
      <c r="A23" t="s">
        <v>4072</v>
      </c>
      <c r="B23" t="s">
        <v>3679</v>
      </c>
      <c r="C23" t="s">
        <v>4065</v>
      </c>
      <c r="D23" t="s">
        <v>3474</v>
      </c>
      <c r="E23" t="s">
        <v>4062</v>
      </c>
      <c r="F23" t="s">
        <v>2487</v>
      </c>
      <c r="G23" t="s">
        <v>65</v>
      </c>
      <c r="H23" t="str">
        <f>IF($B$8="🌙 NIGHT","🟢 Active","🟡 Standby")</f>
        <v>🟡 Standby</v>
      </c>
      <c r="I23" s="11">
        <f>IF($B$8="🌙 NIGHT",0.85,0.4)</f>
        <v>0.4</v>
      </c>
    </row>
    <row r="25" spans="1:12">
      <c r="A25" s="287" t="s">
        <v>4073</v>
      </c>
      <c r="E25" s="288" t="s">
        <v>4074</v>
      </c>
    </row>
    <row r="26" spans="1:12">
      <c r="A26" s="1" t="s">
        <v>4075</v>
      </c>
      <c r="B26" s="11">
        <f>I15*0.8</f>
        <v>0.68</v>
      </c>
      <c r="C26" s="286" t="s">
        <v>4076</v>
      </c>
      <c r="E26" s="149" t="s">
        <v>3795</v>
      </c>
      <c r="F26" s="149" t="s">
        <v>41</v>
      </c>
      <c r="G26" s="149" t="s">
        <v>2200</v>
      </c>
      <c r="H26" s="149" t="s">
        <v>4077</v>
      </c>
      <c r="I26" s="149" t="s">
        <v>4078</v>
      </c>
      <c r="J26" s="149" t="s">
        <v>4079</v>
      </c>
      <c r="K26" s="149" t="s">
        <v>4080</v>
      </c>
      <c r="L26" s="149" t="s">
        <v>562</v>
      </c>
    </row>
    <row r="27" spans="1:12">
      <c r="A27" s="1" t="s">
        <v>4081</v>
      </c>
      <c r="B27" s="11">
        <f>I16*0.9</f>
        <v>0.72000000000000008</v>
      </c>
      <c r="C27" s="286" t="s">
        <v>4082</v>
      </c>
      <c r="E27" t="s">
        <v>3808</v>
      </c>
      <c r="F27" t="s">
        <v>3809</v>
      </c>
      <c r="G27" s="11">
        <f>0.5+0.4*SIN(($B$5+0*10)/20)+0.1*$B$9</f>
        <v>0.23068108111440216</v>
      </c>
      <c r="H27" s="11">
        <f>MAX(0,1-$I$15-0.1*0)</f>
        <v>0.15000000000000002</v>
      </c>
      <c r="I27" s="11">
        <f>MAX(0,1-$I$16-0.05*0)</f>
        <v>0.19999999999999996</v>
      </c>
      <c r="J27" s="11">
        <f>IF($B$8="☀️ DAY",0.3+MOD($B$5,24)/48,0.1)</f>
        <v>0.6333333333333333</v>
      </c>
      <c r="K27" s="11">
        <f>IF($B$8="🌙 NIGHT",0.7+0.1*0,0.2)</f>
        <v>0.2</v>
      </c>
      <c r="L27" t="str">
        <f>IF(G27&gt;0.6,"🟢 Active",IF(G27&gt;0.3,"🟡 Tired","🔴 Exhausted"))</f>
        <v>🔴 Exhausted</v>
      </c>
    </row>
    <row r="28" spans="1:12">
      <c r="A28" s="1" t="s">
        <v>4083</v>
      </c>
      <c r="B28" s="11">
        <f>I18</f>
        <v>0.1</v>
      </c>
      <c r="C28" s="286" t="s">
        <v>4084</v>
      </c>
      <c r="E28" t="s">
        <v>3815</v>
      </c>
      <c r="F28" t="s">
        <v>3816</v>
      </c>
      <c r="G28" s="11">
        <f>0.5+0.4*SIN(($B$5+1*10)/20)+0.1*$B$9</f>
        <v>0.36687189364422707</v>
      </c>
      <c r="H28" s="11">
        <f>MAX(0,1-$I$15-0.1*1)</f>
        <v>5.0000000000000017E-2</v>
      </c>
      <c r="I28" s="11">
        <f>MAX(0,1-$I$16-0.05*1)</f>
        <v>0.14999999999999997</v>
      </c>
      <c r="J28" s="11">
        <f>IF($B$8="☀️ DAY",0.3+MOD($B$5,24)/48,0.1)</f>
        <v>0.6333333333333333</v>
      </c>
      <c r="K28" s="11">
        <f>IF($B$8="🌙 NIGHT",0.7+0.1*1,0.2)</f>
        <v>0.2</v>
      </c>
      <c r="L28" t="str">
        <f>IF(G28&gt;0.6,"🟢 Active",IF(G28&gt;0.3,"🟡 Tired","🔴 Exhausted"))</f>
        <v>🟡 Tired</v>
      </c>
    </row>
    <row r="29" spans="1:12">
      <c r="A29" s="1" t="s">
        <v>4085</v>
      </c>
      <c r="B29" s="11">
        <f>IF($B$8="☀️ DAY",0.7,0.2)</f>
        <v>0.7</v>
      </c>
      <c r="C29" s="286" t="s">
        <v>4086</v>
      </c>
      <c r="E29" t="s">
        <v>3818</v>
      </c>
      <c r="F29" t="s">
        <v>3819</v>
      </c>
      <c r="G29" s="11">
        <f>0.5+0.4*SIN(($B$5+2*10)/20)+0.1*$B$9</f>
        <v>0.55524389971251176</v>
      </c>
      <c r="H29" s="11">
        <f>MAX(0,1-$I$15-0.1*2)</f>
        <v>0</v>
      </c>
      <c r="I29" s="11">
        <f>MAX(0,1-$I$16-0.05*2)</f>
        <v>9.999999999999995E-2</v>
      </c>
      <c r="J29" s="11">
        <f>IF($B$8="☀️ DAY",0.3+MOD($B$5,24)/48,0.1)</f>
        <v>0.6333333333333333</v>
      </c>
      <c r="K29" s="11">
        <f>IF($B$8="🌙 NIGHT",0.7+0.1*2,0.2)</f>
        <v>0.2</v>
      </c>
      <c r="L29" t="str">
        <f>IF(G29&gt;0.6,"🟢 Active",IF(G29&gt;0.3,"🟡 Tired","🔴 Exhausted"))</f>
        <v>🟡 Tired</v>
      </c>
    </row>
    <row r="30" spans="1:12">
      <c r="A30" s="1" t="s">
        <v>4087</v>
      </c>
      <c r="B30" s="11">
        <f>I23</f>
        <v>0.4</v>
      </c>
      <c r="C30" s="286" t="s">
        <v>4088</v>
      </c>
      <c r="E30" t="s">
        <v>3825</v>
      </c>
      <c r="F30" t="s">
        <v>3826</v>
      </c>
      <c r="G30" s="11">
        <f>0.5+0.4*SIN(($B$5+3*10)/20)+0.1*$B$9</f>
        <v>0.74967706253035504</v>
      </c>
      <c r="H30" s="11">
        <f>MAX(0,1-$I$15-0.1*3)</f>
        <v>0</v>
      </c>
      <c r="I30" s="11">
        <f>MAX(0,1-$I$16-0.05*3)</f>
        <v>4.9999999999999933E-2</v>
      </c>
      <c r="J30" s="11">
        <f>IF($B$8="☀️ DAY",0.3+MOD($B$5,24)/48,0.1)</f>
        <v>0.6333333333333333</v>
      </c>
      <c r="K30" s="11">
        <f>IF($B$8="🌙 NIGHT",0.7+0.1*0,0.2)</f>
        <v>0.2</v>
      </c>
      <c r="L30" t="str">
        <f>IF(G30&gt;0.6,"🟢 Active",IF(G30&gt;0.3,"🟡 Tired","🔴 Exhausted"))</f>
        <v>🟢 Active</v>
      </c>
    </row>
    <row r="31" spans="1:12">
      <c r="A31" s="1" t="s">
        <v>3380</v>
      </c>
      <c r="B31" s="13">
        <f>B26+B27+B28-B29</f>
        <v>0.80000000000000027</v>
      </c>
      <c r="C31" s="286" t="s">
        <v>4089</v>
      </c>
      <c r="E31" t="s">
        <v>3828</v>
      </c>
      <c r="F31" t="s">
        <v>3829</v>
      </c>
      <c r="G31" s="11">
        <f>0.5+0.4*SIN(($B$5+4*10)/20)+0.1*$B$9</f>
        <v>0.9025673627463322</v>
      </c>
      <c r="H31" s="11">
        <f>MAX(0,1-$I$15-0.1*4)</f>
        <v>0</v>
      </c>
      <c r="I31" s="11">
        <f>MAX(0,1-$I$16-0.05*4)</f>
        <v>0</v>
      </c>
      <c r="J31" s="11">
        <f>IF($B$8="☀️ DAY",0.3+MOD($B$5,24)/48,0.1)</f>
        <v>0.6333333333333333</v>
      </c>
      <c r="K31" s="11">
        <f>IF($B$8="🌙 NIGHT",0.7+0.1*1,0.2)</f>
        <v>0.2</v>
      </c>
      <c r="L31" t="str">
        <f>IF(G31&gt;0.6,"🟢 Active",IF(G31&gt;0.3,"🟡 Tired","🔴 Exhausted"))</f>
        <v>🟢 Active</v>
      </c>
    </row>
    <row r="32" spans="1:12">
      <c r="A32" s="1" t="s">
        <v>3576</v>
      </c>
      <c r="B32" s="11">
        <f>MIN(1,MAX(0,0.5+B31*0.5))</f>
        <v>0.90000000000000013</v>
      </c>
      <c r="C32" s="286" t="s">
        <v>4090</v>
      </c>
      <c r="E32" t="s">
        <v>3834</v>
      </c>
      <c r="F32" t="s">
        <v>3835</v>
      </c>
      <c r="G32" s="11">
        <f>0.5+0.4*SIN(($B$5+5*10)/20)+0.1*$B$9</f>
        <v>0.97648192263193967</v>
      </c>
      <c r="H32" s="11">
        <f>MAX(0,1-$I$15-0.1*5)</f>
        <v>0</v>
      </c>
      <c r="I32" s="11">
        <f>MAX(0,1-$I$16-0.05*5)</f>
        <v>0</v>
      </c>
      <c r="J32" s="11">
        <f>IF($B$8="☀️ DAY",0.3+MOD($B$5,24)/48,0.1)</f>
        <v>0.6333333333333333</v>
      </c>
      <c r="K32" s="11">
        <f>IF($B$8="🌙 NIGHT",0.7+0.1*2,0.2)</f>
        <v>0.2</v>
      </c>
      <c r="L32" t="str">
        <f>IF(G32&gt;0.6,"🟢 Active",IF(G32&gt;0.3,"🟡 Tired","🔴 Exhausted"))</f>
        <v>🟢 Active</v>
      </c>
    </row>
    <row r="33" spans="1:12">
      <c r="A33" s="1" t="s">
        <v>3615</v>
      </c>
      <c r="B33" s="11">
        <f>1-B32</f>
        <v>9.9999999999999867E-2</v>
      </c>
      <c r="C33" s="286" t="s">
        <v>4091</v>
      </c>
      <c r="E33" t="s">
        <v>3837</v>
      </c>
      <c r="F33" t="s">
        <v>3838</v>
      </c>
      <c r="G33" s="11">
        <f>0.5+0.4*SIN(($B$5+6*10)/20)+0.1*$B$9</f>
        <v>0.95332388006678426</v>
      </c>
      <c r="H33" s="11">
        <f>MAX(0,1-$I$15-0.1*6)</f>
        <v>0</v>
      </c>
      <c r="I33" s="11">
        <f>MAX(0,1-$I$16-0.05*6)</f>
        <v>0</v>
      </c>
      <c r="J33" s="11">
        <f>IF($B$8="☀️ DAY",0.3+MOD($B$5,24)/48,0.1)</f>
        <v>0.6333333333333333</v>
      </c>
      <c r="K33" s="11">
        <f>IF($B$8="🌙 NIGHT",0.7+0.1*0,0.2)</f>
        <v>0.2</v>
      </c>
      <c r="L33" t="str">
        <f>IF(G33&gt;0.6,"🟢 Active",IF(G33&gt;0.3,"🟡 Tired","🔴 Exhausted"))</f>
        <v>🟢 Active</v>
      </c>
    </row>
    <row r="34" spans="1:12">
      <c r="A34" s="1" t="s">
        <v>3616</v>
      </c>
      <c r="B34" s="11">
        <f>IF($B$8="🌙 NIGHT",B30,B30*0.5)</f>
        <v>0.2</v>
      </c>
      <c r="C34" s="286" t="s">
        <v>4092</v>
      </c>
      <c r="E34" t="s">
        <v>3842</v>
      </c>
      <c r="F34" t="s">
        <v>3843</v>
      </c>
      <c r="G34" s="11">
        <f>0.5+0.4*SIN(($B$5+7*10)/20)+0.1*$B$9</f>
        <v>0.83876313153578574</v>
      </c>
      <c r="H34" s="11">
        <f>MAX(0,1-$I$15-0.1*7)</f>
        <v>0</v>
      </c>
      <c r="I34" s="11">
        <f>MAX(0,1-$I$16-0.05*7)</f>
        <v>0</v>
      </c>
      <c r="J34" s="11">
        <f>IF($B$8="☀️ DAY",0.3+MOD($B$5,24)/48,0.1)</f>
        <v>0.6333333333333333</v>
      </c>
      <c r="K34" s="11">
        <f>IF($B$8="🌙 NIGHT",0.7+0.1*1,0.2)</f>
        <v>0.2</v>
      </c>
      <c r="L34" t="str">
        <f>IF(G34&gt;0.6,"🟢 Active",IF(G34&gt;0.3,"🟡 Tired","🔴 Exhausted"))</f>
        <v>🟢 Active</v>
      </c>
    </row>
    <row r="35" spans="1:12">
      <c r="A35" s="1" t="s">
        <v>4093</v>
      </c>
      <c r="B35" t="str">
        <f>IF(B32&gt;0.7,"🟢 ENERGIZED",IF(B32&gt;0.4,"🟡 NORMAL","🔴 FATIGUED"))</f>
        <v>🟢 ENERGIZED</v>
      </c>
      <c r="C35" s="286"/>
    </row>
    <row r="37" spans="1:12">
      <c r="A37" s="289" t="s">
        <v>4094</v>
      </c>
      <c r="E37" s="291" t="s">
        <v>4095</v>
      </c>
    </row>
    <row r="38" spans="1:12">
      <c r="A38" s="1" t="s">
        <v>4096</v>
      </c>
      <c r="B38" t="str">
        <f>$B$7</f>
        <v>Active Phase</v>
      </c>
      <c r="E38" s="1" t="s">
        <v>4097</v>
      </c>
      <c r="F38" t="str">
        <f>IF($B$8="🌙 NIGHT",IF(MOD($B$5,40)&lt;10,"N1 Light",IF(MOD($B$5,40)&lt;20,"N2 Spindle",IF(MOD($B$5,40)&lt;30,"N3 Deep","REM"))),"Awake")</f>
        <v>Awake</v>
      </c>
    </row>
    <row r="39" spans="1:12">
      <c r="A39" s="1" t="s">
        <v>4098</v>
      </c>
      <c r="B39" s="11">
        <f>$B$9</f>
        <v>0.8</v>
      </c>
      <c r="E39" s="1" t="s">
        <v>4083</v>
      </c>
      <c r="F39" s="11">
        <f>$I$18</f>
        <v>0.1</v>
      </c>
    </row>
    <row r="40" spans="1:12">
      <c r="A40" s="1" t="s">
        <v>4099</v>
      </c>
      <c r="B40" s="11">
        <f>$B$11</f>
        <v>0.2</v>
      </c>
      <c r="E40" s="1" t="s">
        <v>4100</v>
      </c>
      <c r="F40" t="str">
        <f>IF(AND($B$8="🌙 NIGHT",MOD($B$5,40)&gt;=30),"🟢 YES","⚪ NO")</f>
        <v>⚪ NO</v>
      </c>
    </row>
    <row r="41" spans="1:12">
      <c r="A41" s="1" t="s">
        <v>4101</v>
      </c>
      <c r="B41" s="11">
        <f>$B$12</f>
        <v>0.7</v>
      </c>
      <c r="E41" s="1" t="s">
        <v>4102</v>
      </c>
      <c r="F41" s="11">
        <f>IF($B$8="🌙 NIGHT",$I$18*0.8,0.1)</f>
        <v>0.1</v>
      </c>
    </row>
    <row r="42" spans="1:12">
      <c r="A42" s="1" t="s">
        <v>4103</v>
      </c>
      <c r="B42" s="290">
        <f>36.5+0.5*$B$12</f>
        <v>36.85</v>
      </c>
      <c r="E42" s="1" t="s">
        <v>4104</v>
      </c>
      <c r="F42" s="11">
        <f>IF($B$8="🌙 NIGHT",F41*0.9,0.05)</f>
        <v>0.05</v>
      </c>
    </row>
    <row r="43" spans="1:12">
      <c r="A43" s="1" t="s">
        <v>4105</v>
      </c>
      <c r="B43" s="11">
        <f>$B$12*0.8+$B$9*0.2</f>
        <v>0.72</v>
      </c>
      <c r="E43" s="1" t="s">
        <v>4106</v>
      </c>
      <c r="F43" s="11">
        <f>IF($B$8="🌙 NIGHT",F41*0.7,0.1)</f>
        <v>0.1</v>
      </c>
    </row>
    <row r="44" spans="1:12">
      <c r="A44" s="1" t="s">
        <v>4107</v>
      </c>
      <c r="B44" t="str">
        <f>IF(AND(MOD($B$5,160)&gt;30,MOD($B$5,160)&lt;70),"🧠 PEAK","Normal")</f>
        <v>Normal</v>
      </c>
      <c r="E44" s="1" t="s">
        <v>4108</v>
      </c>
      <c r="F44" s="11">
        <f>IF(F40="🟢 YES",F41*0.85,0.1)</f>
        <v>0.1</v>
      </c>
    </row>
    <row r="45" spans="1:12">
      <c r="A45" s="1" t="s">
        <v>4109</v>
      </c>
      <c r="B45" t="str">
        <f>IF(AND(MOD($B$5,160)&gt;50,MOD($B$5,160)&lt;90),"💪 PEAK","Normal")</f>
        <v>Normal</v>
      </c>
      <c r="E45" s="1" t="s">
        <v>4110</v>
      </c>
      <c r="F45" t="str">
        <f>IF($B$8="🌙 NIGHT","🔄 CONSOLIDATING","⏸️ PAUSED")</f>
        <v>⏸️ PAUSED</v>
      </c>
    </row>
    <row r="46" spans="1:12">
      <c r="A46" s="1" t="s">
        <v>4111</v>
      </c>
      <c r="B46" s="11">
        <f>$B$11</f>
        <v>0.2</v>
      </c>
    </row>
    <row r="47" spans="1:12">
      <c r="A47" s="1" t="s">
        <v>4112</v>
      </c>
      <c r="B47" t="str">
        <f>IF(ABS($B$11-$B$12)&lt;0.3,"🟢 SYNCHRONIZED","🟡 ADJUSTING")</f>
        <v>🟡 ADJUSTING</v>
      </c>
    </row>
    <row r="49" spans="1:7">
      <c r="A49" s="292" t="s">
        <v>3901</v>
      </c>
      <c r="F49" s="293" t="s">
        <v>4113</v>
      </c>
    </row>
    <row r="50" spans="1:7">
      <c r="A50" s="145" t="s">
        <v>3903</v>
      </c>
      <c r="B50" s="145" t="s">
        <v>2721</v>
      </c>
      <c r="C50" s="145" t="s">
        <v>3904</v>
      </c>
      <c r="D50" s="145" t="s">
        <v>1154</v>
      </c>
      <c r="F50" s="1" t="s">
        <v>4114</v>
      </c>
      <c r="G50">
        <v>9</v>
      </c>
    </row>
    <row r="51" spans="1:7">
      <c r="A51" t="s">
        <v>833</v>
      </c>
      <c r="B51" t="s">
        <v>4115</v>
      </c>
      <c r="C51" t="s">
        <v>1521</v>
      </c>
      <c r="D51" t="s">
        <v>1642</v>
      </c>
      <c r="F51" s="1" t="s">
        <v>4116</v>
      </c>
      <c r="G51">
        <f>COUNTIF(H15:H23,"🟢 Active")+COUNTIF(H15:H23,"🔄 Continuous")</f>
        <v>3</v>
      </c>
    </row>
    <row r="52" spans="1:7">
      <c r="A52" t="s">
        <v>966</v>
      </c>
      <c r="B52" t="s">
        <v>4117</v>
      </c>
      <c r="C52" t="s">
        <v>1521</v>
      </c>
      <c r="D52" t="s">
        <v>4118</v>
      </c>
      <c r="F52" s="1" t="s">
        <v>4119</v>
      </c>
      <c r="G52">
        <f>COUNTIF(H15:H23,"⏸️ Paused")+COUNTIF(H15:H23,"🟡*")</f>
        <v>3</v>
      </c>
    </row>
    <row r="53" spans="1:7">
      <c r="A53" t="s">
        <v>3925</v>
      </c>
      <c r="B53" t="s">
        <v>4120</v>
      </c>
      <c r="C53" t="s">
        <v>1521</v>
      </c>
      <c r="D53" t="s">
        <v>2593</v>
      </c>
      <c r="F53" s="1" t="s">
        <v>4121</v>
      </c>
      <c r="G53" s="11">
        <f>AVERAGE(I15:I23)</f>
        <v>0.61555555555555552</v>
      </c>
    </row>
    <row r="54" spans="1:7">
      <c r="A54" t="s">
        <v>3474</v>
      </c>
      <c r="B54" t="s">
        <v>4122</v>
      </c>
      <c r="C54" t="s">
        <v>1521</v>
      </c>
      <c r="D54" t="s">
        <v>4123</v>
      </c>
      <c r="F54" s="1" t="s">
        <v>4124</v>
      </c>
      <c r="G54">
        <v>8</v>
      </c>
    </row>
    <row r="55" spans="1:7">
      <c r="A55" t="s">
        <v>3643</v>
      </c>
      <c r="B55" t="s">
        <v>3469</v>
      </c>
      <c r="C55" t="s">
        <v>1521</v>
      </c>
      <c r="D55" t="s">
        <v>4125</v>
      </c>
      <c r="F55" s="1" t="s">
        <v>3791</v>
      </c>
      <c r="G55">
        <f>COUNTIF(L27:L34,"🟢 Active")</f>
        <v>5</v>
      </c>
    </row>
    <row r="56" spans="1:7">
      <c r="A56" t="s">
        <v>3777</v>
      </c>
      <c r="B56" t="s">
        <v>4126</v>
      </c>
      <c r="C56" t="s">
        <v>1521</v>
      </c>
      <c r="D56" t="s">
        <v>4127</v>
      </c>
      <c r="F56" s="1" t="s">
        <v>4128</v>
      </c>
      <c r="G56">
        <f>COUNTIF(L27:L34,"🟡 Tired")</f>
        <v>2</v>
      </c>
    </row>
    <row r="57" spans="1:7">
      <c r="A57" t="s">
        <v>2927</v>
      </c>
      <c r="B57" t="s">
        <v>4129</v>
      </c>
      <c r="C57" t="s">
        <v>1521</v>
      </c>
      <c r="D57" t="s">
        <v>4130</v>
      </c>
      <c r="F57" s="1" t="s">
        <v>4131</v>
      </c>
      <c r="G57">
        <f>COUNTIF(L27:L34,"🔴 Exhausted")</f>
        <v>1</v>
      </c>
    </row>
    <row r="58" spans="1:7">
      <c r="A58" t="s">
        <v>3940</v>
      </c>
      <c r="B58" t="s">
        <v>4132</v>
      </c>
      <c r="C58" t="s">
        <v>1521</v>
      </c>
      <c r="D58" t="s">
        <v>4133</v>
      </c>
      <c r="F58" s="1" t="s">
        <v>4134</v>
      </c>
      <c r="G58" t="str">
        <f>IF(G53&gt;0.6,"🟢 HEALTHY",IF(G53&gt;0.4,"🟡 MODERATE","🔴 LOW"))</f>
        <v>🟢 HEALTHY</v>
      </c>
    </row>
  </sheetData>
  <mergeCells count="1">
    <mergeCell ref="A1:L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7324-98F2-418B-912E-8ED9150C7ED3}">
  <dimension ref="A1:H76"/>
  <sheetViews>
    <sheetView workbookViewId="0">
      <selection sqref="A1:H1"/>
    </sheetView>
  </sheetViews>
  <sheetFormatPr defaultRowHeight="15"/>
  <cols>
    <col min="1" max="1" width="34.28515625" customWidth="1"/>
    <col min="2" max="2" width="22.85546875" customWidth="1"/>
    <col min="3" max="3" width="28.5703125" customWidth="1"/>
    <col min="4" max="4" width="19" customWidth="1"/>
    <col min="5" max="5" width="22.85546875" customWidth="1"/>
    <col min="6" max="6" width="28.5703125" customWidth="1"/>
    <col min="7" max="8" width="22.85546875" customWidth="1"/>
  </cols>
  <sheetData>
    <row r="1" spans="1:8" ht="21">
      <c r="A1" s="349" t="s">
        <v>4135</v>
      </c>
      <c r="B1" s="321"/>
      <c r="C1" s="321"/>
      <c r="D1" s="321"/>
      <c r="E1" s="321"/>
      <c r="F1" s="321"/>
      <c r="G1" s="321"/>
      <c r="H1" s="321"/>
    </row>
    <row r="3" spans="1:8">
      <c r="A3" s="294" t="s">
        <v>559</v>
      </c>
    </row>
    <row r="4" spans="1:8">
      <c r="A4" s="1" t="s">
        <v>563</v>
      </c>
      <c r="B4">
        <f>'DNA Loop Engine'!B5</f>
        <v>50</v>
      </c>
    </row>
    <row r="5" spans="1:8">
      <c r="A5" s="1" t="s">
        <v>561</v>
      </c>
      <c r="B5">
        <f>'DNA Loop Engine'!B4</f>
        <v>4000</v>
      </c>
    </row>
    <row r="6" spans="1:8">
      <c r="A6" s="1" t="s">
        <v>1207</v>
      </c>
      <c r="B6">
        <v>40</v>
      </c>
    </row>
    <row r="7" spans="1:8">
      <c r="A7" s="1" t="s">
        <v>4136</v>
      </c>
      <c r="B7" t="str">
        <f>ROUND(B4/B6*100,0)&amp;"%"</f>
        <v>125%</v>
      </c>
    </row>
    <row r="8" spans="1:8">
      <c r="A8" s="1" t="s">
        <v>4137</v>
      </c>
      <c r="B8" t="str">
        <f>IF(B4&gt;=B6,"🎉 BORN","🔄 GESTATING")</f>
        <v>🎉 BORN</v>
      </c>
    </row>
    <row r="9" spans="1:8">
      <c r="A9" s="1" t="s">
        <v>4138</v>
      </c>
      <c r="B9">
        <f>IF(B4&gt;=B6,(B4-B6)*7,0)</f>
        <v>70</v>
      </c>
    </row>
    <row r="10" spans="1:8">
      <c r="A10" s="1" t="s">
        <v>4139</v>
      </c>
      <c r="B10">
        <f>IF(B4&gt;=B6,ROUND((B4-B6)/4.33,1),0)</f>
        <v>2.2999999999999998</v>
      </c>
    </row>
    <row r="12" spans="1:8">
      <c r="A12" s="295" t="s">
        <v>4140</v>
      </c>
    </row>
    <row r="13" spans="1:8">
      <c r="A13" s="300" t="s">
        <v>41</v>
      </c>
      <c r="B13" s="299" t="s">
        <v>4141</v>
      </c>
      <c r="C13" s="299" t="s">
        <v>4142</v>
      </c>
      <c r="D13" s="299" t="s">
        <v>54</v>
      </c>
      <c r="E13" s="299" t="s">
        <v>452</v>
      </c>
      <c r="F13" s="299" t="s">
        <v>4143</v>
      </c>
      <c r="G13" s="299" t="s">
        <v>1518</v>
      </c>
      <c r="H13" s="304" t="s">
        <v>562</v>
      </c>
    </row>
    <row r="14" spans="1:8">
      <c r="A14" s="301" t="s">
        <v>4144</v>
      </c>
      <c r="B14" s="16" t="s">
        <v>4145</v>
      </c>
      <c r="C14" s="16" t="s">
        <v>4146</v>
      </c>
      <c r="D14" s="16" t="s">
        <v>4147</v>
      </c>
      <c r="E14" s="16">
        <v>0</v>
      </c>
      <c r="F14" s="16">
        <v>40</v>
      </c>
      <c r="G14" s="16" t="s">
        <v>4148</v>
      </c>
      <c r="H14" s="20" t="str">
        <f>IF($B$4&gt;=F14,"✅ Complete",IF($B$4&gt;=E14,"🔄 Active","⏳ Pending"))</f>
        <v>✅ Complete</v>
      </c>
    </row>
    <row r="15" spans="1:8">
      <c r="A15" s="301" t="s">
        <v>4149</v>
      </c>
      <c r="B15" s="16" t="s">
        <v>2955</v>
      </c>
      <c r="C15" s="16" t="s">
        <v>4150</v>
      </c>
      <c r="D15" s="16" t="s">
        <v>4151</v>
      </c>
      <c r="E15" s="16">
        <v>0</v>
      </c>
      <c r="F15" s="16">
        <v>40</v>
      </c>
      <c r="G15" s="16" t="s">
        <v>4152</v>
      </c>
      <c r="H15" s="20" t="str">
        <f>IF($B$4&gt;=F15,"✅ Complete",IF($B$4&gt;=E15,"🔄 Active","⏳ Pending"))</f>
        <v>✅ Complete</v>
      </c>
    </row>
    <row r="16" spans="1:8">
      <c r="A16" s="301" t="s">
        <v>4153</v>
      </c>
      <c r="B16" s="16" t="s">
        <v>4154</v>
      </c>
      <c r="C16" s="16" t="s">
        <v>4155</v>
      </c>
      <c r="D16" s="16" t="s">
        <v>787</v>
      </c>
      <c r="E16" s="16">
        <v>0</v>
      </c>
      <c r="F16" s="16">
        <v>40</v>
      </c>
      <c r="G16" s="16" t="s">
        <v>4156</v>
      </c>
      <c r="H16" s="20" t="str">
        <f>IF($B$4&gt;=F16,"✅ Complete",IF($B$4&gt;=E16,"🔄 Active","⏳ Pending"))</f>
        <v>✅ Complete</v>
      </c>
    </row>
    <row r="17" spans="1:8">
      <c r="A17" s="301" t="s">
        <v>4157</v>
      </c>
      <c r="B17" s="16" t="s">
        <v>4158</v>
      </c>
      <c r="C17" s="16" t="s">
        <v>4159</v>
      </c>
      <c r="D17" s="16" t="s">
        <v>1356</v>
      </c>
      <c r="E17" s="16">
        <v>8</v>
      </c>
      <c r="F17" s="16">
        <v>40</v>
      </c>
      <c r="G17" s="16" t="s">
        <v>4160</v>
      </c>
      <c r="H17" s="20" t="str">
        <f>IF($B$4&gt;=F17,"✅ Complete",IF($B$4&gt;=E17,"🔄 Active","⏳ Pending"))</f>
        <v>✅ Complete</v>
      </c>
    </row>
    <row r="18" spans="1:8">
      <c r="A18" s="302" t="s">
        <v>4161</v>
      </c>
      <c r="B18" s="16" t="s">
        <v>4162</v>
      </c>
      <c r="C18" s="16" t="s">
        <v>4163</v>
      </c>
      <c r="D18" s="16" t="s">
        <v>4164</v>
      </c>
      <c r="E18" s="16">
        <v>0</v>
      </c>
      <c r="F18" s="16">
        <v>0</v>
      </c>
      <c r="G18" s="16" t="s">
        <v>4165</v>
      </c>
      <c r="H18" s="20" t="str">
        <f>IF($B$4&gt;=F18,"✅ Complete",IF($B$4&gt;=E18,"🔄 Active","⏳ Pending"))</f>
        <v>✅ Complete</v>
      </c>
    </row>
    <row r="19" spans="1:8">
      <c r="A19" s="302" t="s">
        <v>4166</v>
      </c>
      <c r="B19" s="16" t="s">
        <v>4154</v>
      </c>
      <c r="C19" s="16" t="s">
        <v>4167</v>
      </c>
      <c r="D19" s="16" t="s">
        <v>4168</v>
      </c>
      <c r="E19" s="16">
        <v>8</v>
      </c>
      <c r="F19" s="16">
        <v>40</v>
      </c>
      <c r="G19" s="16" t="s">
        <v>4169</v>
      </c>
      <c r="H19" s="20" t="str">
        <f>IF($B$4&gt;=F19,"✅ Complete",IF($B$4&gt;=E19,"🔄 Active","⏳ Pending"))</f>
        <v>✅ Complete</v>
      </c>
    </row>
    <row r="20" spans="1:8">
      <c r="A20" s="302" t="s">
        <v>4170</v>
      </c>
      <c r="B20" s="16" t="s">
        <v>4158</v>
      </c>
      <c r="C20" s="16" t="s">
        <v>4171</v>
      </c>
      <c r="D20" s="16" t="s">
        <v>1356</v>
      </c>
      <c r="E20" s="16">
        <v>12</v>
      </c>
      <c r="F20" s="16">
        <v>40</v>
      </c>
      <c r="G20" s="16" t="s">
        <v>4172</v>
      </c>
      <c r="H20" s="20" t="str">
        <f>IF($B$4&gt;=F20,"✅ Complete",IF($B$4&gt;=E20,"🔄 Active","⏳ Pending"))</f>
        <v>✅ Complete</v>
      </c>
    </row>
    <row r="21" spans="1:8">
      <c r="A21" s="303" t="s">
        <v>4173</v>
      </c>
      <c r="B21" s="18" t="s">
        <v>3438</v>
      </c>
      <c r="C21" s="18" t="s">
        <v>4174</v>
      </c>
      <c r="D21" s="18" t="s">
        <v>2631</v>
      </c>
      <c r="E21" s="18">
        <v>0</v>
      </c>
      <c r="F21" s="18">
        <v>40</v>
      </c>
      <c r="G21" s="18" t="s">
        <v>4175</v>
      </c>
      <c r="H21" s="21" t="str">
        <f>IF($B$4&gt;=F21,"✅ Complete",IF($B$4&gt;=E21,"🔄 Active","⏳ Pending"))</f>
        <v>✅ Complete</v>
      </c>
    </row>
    <row r="23" spans="1:8">
      <c r="A23" s="294" t="s">
        <v>4176</v>
      </c>
    </row>
    <row r="24" spans="1:8">
      <c r="A24" s="300" t="s">
        <v>1517</v>
      </c>
      <c r="B24" s="299" t="s">
        <v>718</v>
      </c>
      <c r="C24" s="299" t="s">
        <v>1767</v>
      </c>
      <c r="D24" s="299" t="s">
        <v>452</v>
      </c>
      <c r="E24" s="299" t="s">
        <v>4143</v>
      </c>
      <c r="F24" s="299" t="s">
        <v>1518</v>
      </c>
      <c r="G24" s="299" t="s">
        <v>455</v>
      </c>
      <c r="H24" s="304" t="s">
        <v>562</v>
      </c>
    </row>
    <row r="25" spans="1:8">
      <c r="A25" s="40" t="s">
        <v>4177</v>
      </c>
      <c r="B25" s="16" t="s">
        <v>4149</v>
      </c>
      <c r="C25" s="16" t="s">
        <v>3679</v>
      </c>
      <c r="D25" s="16">
        <v>0</v>
      </c>
      <c r="E25" s="16">
        <v>40</v>
      </c>
      <c r="F25" s="16" t="s">
        <v>4178</v>
      </c>
      <c r="G25" s="16" t="str">
        <f>MIN(100,ROUND(($B$4-D25)/(E25-D25)*100,0))&amp;"%"</f>
        <v>100%</v>
      </c>
      <c r="H25" s="20" t="str">
        <f>IF($B$4&gt;=E25,"✅ Complete",IF($B$4&gt;=D25,"🔄 Active","⏳ Pending"))</f>
        <v>✅ Complete</v>
      </c>
    </row>
    <row r="26" spans="1:8">
      <c r="A26" s="40" t="s">
        <v>4179</v>
      </c>
      <c r="B26" s="16" t="s">
        <v>4149</v>
      </c>
      <c r="C26" s="16" t="s">
        <v>3679</v>
      </c>
      <c r="D26" s="16">
        <v>0</v>
      </c>
      <c r="E26" s="16">
        <v>40</v>
      </c>
      <c r="F26" s="16" t="s">
        <v>4180</v>
      </c>
      <c r="G26" s="16" t="str">
        <f>MIN(100,ROUND(($B$4-D26)/(E26-D26)*100,0))&amp;"%"</f>
        <v>100%</v>
      </c>
      <c r="H26" s="20" t="str">
        <f>IF($B$4&gt;=E26,"✅ Complete",IF($B$4&gt;=D26,"🔄 Active","⏳ Pending"))</f>
        <v>✅ Complete</v>
      </c>
    </row>
    <row r="27" spans="1:8">
      <c r="A27" s="40" t="s">
        <v>4181</v>
      </c>
      <c r="B27" s="16" t="s">
        <v>4153</v>
      </c>
      <c r="C27" s="16" t="s">
        <v>3637</v>
      </c>
      <c r="D27" s="16">
        <v>8</v>
      </c>
      <c r="E27" s="16">
        <v>40</v>
      </c>
      <c r="F27" s="16" t="s">
        <v>4182</v>
      </c>
      <c r="G27" s="16" t="str">
        <f>IF($B$4&lt;D27,"0%",MIN(100,ROUND(($B$4-D27)/(E27-D27)*100,0))&amp;"%")</f>
        <v>100%</v>
      </c>
      <c r="H27" s="20" t="str">
        <f>IF($B$4&gt;=E27,"✅ Complete",IF($B$4&gt;=D27,"🔄 Active","⏳ Pending"))</f>
        <v>✅ Complete</v>
      </c>
    </row>
    <row r="28" spans="1:8">
      <c r="A28" s="40" t="s">
        <v>4183</v>
      </c>
      <c r="B28" s="16" t="s">
        <v>833</v>
      </c>
      <c r="C28" s="16" t="s">
        <v>4184</v>
      </c>
      <c r="D28" s="16">
        <v>4</v>
      </c>
      <c r="E28" s="16">
        <v>40</v>
      </c>
      <c r="F28" s="16" t="s">
        <v>4185</v>
      </c>
      <c r="G28" s="16" t="str">
        <f>IF($B$4&lt;D28,"0%",MIN(100,ROUND(($B$4-D28)/(E28-D28)*100,0))&amp;"%")</f>
        <v>100%</v>
      </c>
      <c r="H28" s="20" t="str">
        <f>IF($B$4&gt;=E28,"✅ Complete",IF($B$4&gt;=D28,"🔄 Active","⏳ Pending"))</f>
        <v>✅ Complete</v>
      </c>
    </row>
    <row r="29" spans="1:8">
      <c r="A29" s="40" t="s">
        <v>4186</v>
      </c>
      <c r="B29" s="16" t="s">
        <v>4184</v>
      </c>
      <c r="C29" s="16" t="s">
        <v>65</v>
      </c>
      <c r="D29" s="16">
        <v>8</v>
      </c>
      <c r="E29" s="16">
        <v>40</v>
      </c>
      <c r="F29" s="16" t="s">
        <v>4187</v>
      </c>
      <c r="G29" s="16" t="str">
        <f>IF($B$4&lt;D29,"0%",MIN(100,ROUND(($B$4-D29)/(E29-D29)*100,0))&amp;"%")</f>
        <v>100%</v>
      </c>
      <c r="H29" s="20" t="str">
        <f>IF($B$4&gt;=E29,"✅ Complete",IF($B$4&gt;=D29,"🔄 Active","⏳ Pending"))</f>
        <v>✅ Complete</v>
      </c>
    </row>
    <row r="30" spans="1:8">
      <c r="A30" s="40" t="s">
        <v>4188</v>
      </c>
      <c r="B30" s="16" t="s">
        <v>4157</v>
      </c>
      <c r="C30" s="16" t="s">
        <v>3637</v>
      </c>
      <c r="D30" s="16">
        <v>12</v>
      </c>
      <c r="E30" s="16">
        <v>40</v>
      </c>
      <c r="F30" s="16" t="s">
        <v>4189</v>
      </c>
      <c r="G30" s="16" t="str">
        <f>IF($B$4&lt;D30,"0%",MIN(100,ROUND(($B$4-D30)/(E30-D30)*100,0))&amp;"%")</f>
        <v>100%</v>
      </c>
      <c r="H30" s="20" t="str">
        <f>IF($B$4&gt;=E30,"✅ Complete",IF($B$4&gt;=D30,"🔄 Active","⏳ Pending"))</f>
        <v>✅ Complete</v>
      </c>
    </row>
    <row r="31" spans="1:8">
      <c r="A31" s="40" t="s">
        <v>4190</v>
      </c>
      <c r="B31" s="16" t="s">
        <v>4149</v>
      </c>
      <c r="C31" s="16" t="s">
        <v>65</v>
      </c>
      <c r="D31" s="16">
        <v>0</v>
      </c>
      <c r="E31" s="16">
        <v>40</v>
      </c>
      <c r="F31" s="16" t="s">
        <v>4191</v>
      </c>
      <c r="G31" s="16" t="str">
        <f>MIN(100,ROUND(($B$4-D31)/(E31-D31)*100,0))&amp;"%"</f>
        <v>100%</v>
      </c>
      <c r="H31" s="20" t="str">
        <f>IF($B$4&gt;=E31,"✅ Complete",IF($B$4&gt;=D31,"🔄 Active","⏳ Pending"))</f>
        <v>✅ Complete</v>
      </c>
    </row>
    <row r="32" spans="1:8">
      <c r="A32" s="40" t="s">
        <v>4192</v>
      </c>
      <c r="B32" s="16" t="s">
        <v>4149</v>
      </c>
      <c r="C32" s="16" t="s">
        <v>3679</v>
      </c>
      <c r="D32" s="16">
        <v>0</v>
      </c>
      <c r="E32" s="16">
        <v>40</v>
      </c>
      <c r="F32" s="16" t="s">
        <v>4193</v>
      </c>
      <c r="G32" s="16" t="str">
        <f>MIN(100,ROUND(($B$4-D32)/(E32-D32)*100,0))&amp;"%"</f>
        <v>100%</v>
      </c>
      <c r="H32" s="20" t="str">
        <f>IF($B$4&gt;=E32,"✅ Complete",IF($B$4&gt;=D32,"🔄 Active","⏳ Pending"))</f>
        <v>✅ Complete</v>
      </c>
    </row>
    <row r="33" spans="1:8">
      <c r="A33" s="40" t="s">
        <v>4194</v>
      </c>
      <c r="B33" s="16" t="s">
        <v>4153</v>
      </c>
      <c r="C33" s="16" t="s">
        <v>65</v>
      </c>
      <c r="D33" s="16">
        <v>0</v>
      </c>
      <c r="E33" s="16">
        <v>40</v>
      </c>
      <c r="F33" s="16" t="s">
        <v>4195</v>
      </c>
      <c r="G33" s="16" t="str">
        <f>MIN(100,ROUND(($B$4-D33)/(E33-D33)*100,0))&amp;"%"</f>
        <v>100%</v>
      </c>
      <c r="H33" s="20" t="str">
        <f>IF($B$4&gt;=E33,"✅ Complete",IF($B$4&gt;=D33,"🔄 Active","⏳ Pending"))</f>
        <v>✅ Complete</v>
      </c>
    </row>
    <row r="34" spans="1:8">
      <c r="A34" s="305" t="s">
        <v>4196</v>
      </c>
      <c r="B34" s="18" t="s">
        <v>4197</v>
      </c>
      <c r="C34" s="18" t="s">
        <v>3474</v>
      </c>
      <c r="D34" s="18">
        <v>8</v>
      </c>
      <c r="E34" s="18">
        <v>40</v>
      </c>
      <c r="F34" s="18" t="s">
        <v>4198</v>
      </c>
      <c r="G34" s="18" t="str">
        <f>IF($B$4&lt;D34,"0%",MIN(100,ROUND(($B$4-D34)/(E34-D34)*100,0))&amp;"%")</f>
        <v>100%</v>
      </c>
      <c r="H34" s="21" t="str">
        <f>IF($B$4&gt;=E34,"✅ Complete",IF($B$4&gt;=D34,"🔄 Active","⏳ Pending"))</f>
        <v>✅ Complete</v>
      </c>
    </row>
    <row r="36" spans="1:8">
      <c r="A36" s="297" t="s">
        <v>4199</v>
      </c>
    </row>
    <row r="37" spans="1:8">
      <c r="A37" s="300" t="s">
        <v>2986</v>
      </c>
      <c r="B37" s="299" t="s">
        <v>718</v>
      </c>
      <c r="C37" s="299" t="s">
        <v>1518</v>
      </c>
      <c r="D37" s="299" t="s">
        <v>452</v>
      </c>
      <c r="E37" s="299" t="s">
        <v>4143</v>
      </c>
      <c r="F37" s="299" t="s">
        <v>2002</v>
      </c>
      <c r="G37" s="299" t="s">
        <v>593</v>
      </c>
      <c r="H37" s="304" t="s">
        <v>562</v>
      </c>
    </row>
    <row r="38" spans="1:8">
      <c r="A38" s="301" t="s">
        <v>4200</v>
      </c>
      <c r="B38" s="16" t="s">
        <v>4201</v>
      </c>
      <c r="C38" s="16" t="s">
        <v>4202</v>
      </c>
      <c r="D38" s="16">
        <v>0</v>
      </c>
      <c r="E38" s="16">
        <v>40</v>
      </c>
      <c r="F38" s="16">
        <f>70+ROUND(SIN($B$4/10)*5,0)</f>
        <v>65</v>
      </c>
      <c r="G38" s="16" t="s">
        <v>627</v>
      </c>
      <c r="H38" s="20" t="s">
        <v>4203</v>
      </c>
    </row>
    <row r="39" spans="1:8">
      <c r="A39" s="40" t="s">
        <v>4204</v>
      </c>
      <c r="B39" s="16" t="s">
        <v>4149</v>
      </c>
      <c r="C39" s="16" t="s">
        <v>4205</v>
      </c>
      <c r="D39" s="16">
        <v>0</v>
      </c>
      <c r="E39" s="16">
        <v>40</v>
      </c>
      <c r="F39" s="16" t="str">
        <f>IF($B$4&gt;=40,"Severed",ROUND(MIN(100,$B$4/40*100),0)&amp;"%")</f>
        <v>Severed</v>
      </c>
      <c r="G39" s="16" t="s">
        <v>3583</v>
      </c>
      <c r="H39" s="20" t="str">
        <f>IF($B$4&gt;=40,"✂️ Severed","🔗 Connected")</f>
        <v>✂️ Severed</v>
      </c>
    </row>
    <row r="40" spans="1:8">
      <c r="A40" s="306" t="s">
        <v>4206</v>
      </c>
      <c r="B40" s="16" t="s">
        <v>4207</v>
      </c>
      <c r="C40" s="16" t="s">
        <v>4208</v>
      </c>
      <c r="D40" s="16">
        <v>6</v>
      </c>
      <c r="E40" s="16">
        <v>40</v>
      </c>
      <c r="F40" s="16">
        <f>IF($B$4&lt;6,0,120+ROUND(MIN(30,($B$4-6)/40*30),0)+ROUND(SIN($B$4/5)*5,0))</f>
        <v>147</v>
      </c>
      <c r="G40" s="16" t="s">
        <v>627</v>
      </c>
      <c r="H40" s="20" t="str">
        <f>IF($B$4&lt;6,"⏳ Pending",IF($B$4&gt;=40,"💓 Independent","💓 Synced"))</f>
        <v>💓 Independent</v>
      </c>
    </row>
    <row r="41" spans="1:8">
      <c r="A41" s="40" t="s">
        <v>4209</v>
      </c>
      <c r="B41" s="16" t="s">
        <v>4210</v>
      </c>
      <c r="C41" s="16" t="s">
        <v>4211</v>
      </c>
      <c r="D41" s="16">
        <v>0</v>
      </c>
      <c r="E41" s="16">
        <v>40</v>
      </c>
      <c r="F41" s="16" t="str">
        <f>IF($B$4&gt;=40,"Pulmonary",ROUND(MIN(100,$B$4/40*100),0)&amp;"%")</f>
        <v>Pulmonary</v>
      </c>
      <c r="G41" s="16" t="s">
        <v>718</v>
      </c>
      <c r="H41" s="20" t="str">
        <f>IF($B$4&gt;=40,"🫁 Pulmonary","🔗 Umbilical")</f>
        <v>🫁 Pulmonary</v>
      </c>
    </row>
    <row r="42" spans="1:8">
      <c r="A42" s="40" t="s">
        <v>4212</v>
      </c>
      <c r="B42" s="16" t="s">
        <v>4157</v>
      </c>
      <c r="C42" s="16" t="s">
        <v>4213</v>
      </c>
      <c r="D42" s="16">
        <v>8</v>
      </c>
      <c r="E42" s="16">
        <v>40</v>
      </c>
      <c r="F42" s="16" t="str">
        <f>IF($B$4&lt;8,"0%",ROUND(MIN(100,($B$4-8)/32*100),0)&amp;"%")</f>
        <v>100%</v>
      </c>
      <c r="G42" s="16" t="s">
        <v>3852</v>
      </c>
      <c r="H42" s="20" t="str">
        <f>IF($B$4&gt;=40,"✅ Complete",IF($B$4&gt;=8,"🔄 Active","⏳ Pending"))</f>
        <v>✅ Complete</v>
      </c>
    </row>
    <row r="43" spans="1:8">
      <c r="A43" s="40" t="s">
        <v>4214</v>
      </c>
      <c r="B43" s="16" t="s">
        <v>4153</v>
      </c>
      <c r="C43" s="16" t="s">
        <v>4215</v>
      </c>
      <c r="D43" s="16">
        <v>0</v>
      </c>
      <c r="E43" s="16">
        <v>40</v>
      </c>
      <c r="F43" s="16">
        <f>37+ROUND(SIN($B$4/15)*0.2,1)</f>
        <v>37</v>
      </c>
      <c r="G43" s="16" t="s">
        <v>2302</v>
      </c>
      <c r="H43" s="20" t="str">
        <f>IF($B$4&gt;=40,"🌡️ Self-Regulated","🌡️ Maternal")</f>
        <v>🌡️ Self-Regulated</v>
      </c>
    </row>
    <row r="44" spans="1:8">
      <c r="A44" s="40" t="s">
        <v>4216</v>
      </c>
      <c r="B44" s="16" t="s">
        <v>4217</v>
      </c>
      <c r="C44" s="16" t="s">
        <v>4218</v>
      </c>
      <c r="D44" s="16">
        <v>0</v>
      </c>
      <c r="E44" s="16">
        <v>40</v>
      </c>
      <c r="F44" s="16" t="str">
        <f>ROUND(MIN(100,$B$4/40*100),0)&amp;"%"</f>
        <v>100%</v>
      </c>
      <c r="G44" s="16" t="s">
        <v>4219</v>
      </c>
      <c r="H44" s="20" t="str">
        <f>IF($B$4&gt;=40,"🛡️ Independent","🛡️ Protected")</f>
        <v>🛡️ Independent</v>
      </c>
    </row>
    <row r="45" spans="1:8">
      <c r="A45" s="305" t="s">
        <v>4220</v>
      </c>
      <c r="B45" s="18" t="s">
        <v>4197</v>
      </c>
      <c r="C45" s="18" t="s">
        <v>4221</v>
      </c>
      <c r="D45" s="18">
        <v>12</v>
      </c>
      <c r="E45" s="18">
        <v>40</v>
      </c>
      <c r="F45" s="18" t="str">
        <f>IF($B$4&lt;12,"0%",ROUND(MIN(100,($B$4-12)/28*100),0)&amp;"%")</f>
        <v>100%</v>
      </c>
      <c r="G45" s="18" t="s">
        <v>4222</v>
      </c>
      <c r="H45" s="21" t="str">
        <f>IF($B$4&gt;=40,"✅ Complete",IF($B$4&gt;=12,"🔄 Active","⏳ Pending"))</f>
        <v>✅ Complete</v>
      </c>
    </row>
    <row r="47" spans="1:8">
      <c r="A47" s="298" t="s">
        <v>4223</v>
      </c>
    </row>
    <row r="48" spans="1:8">
      <c r="A48" s="300" t="s">
        <v>4224</v>
      </c>
      <c r="B48" s="299" t="s">
        <v>4225</v>
      </c>
      <c r="C48" s="299" t="s">
        <v>4226</v>
      </c>
      <c r="D48" s="299" t="s">
        <v>4227</v>
      </c>
      <c r="E48" s="299" t="s">
        <v>4228</v>
      </c>
      <c r="F48" s="304" t="s">
        <v>562</v>
      </c>
    </row>
    <row r="49" spans="1:6">
      <c r="A49" s="40" t="s">
        <v>4229</v>
      </c>
      <c r="B49" s="16" t="s">
        <v>3187</v>
      </c>
      <c r="C49" s="16" t="s">
        <v>4230</v>
      </c>
      <c r="D49" s="16">
        <v>40</v>
      </c>
      <c r="E49" s="16" t="str">
        <f>IF($B$4&gt;=D49,C49,B49)</f>
        <v>Severed</v>
      </c>
      <c r="F49" s="20" t="str">
        <f>IF($B$4&gt;=D49,"✂️ SEVERED","🔗 CONNECTED")</f>
        <v>✂️ SEVERED</v>
      </c>
    </row>
    <row r="50" spans="1:6">
      <c r="A50" s="40" t="s">
        <v>1206</v>
      </c>
      <c r="B50" s="16" t="s">
        <v>4231</v>
      </c>
      <c r="C50" s="16" t="s">
        <v>1214</v>
      </c>
      <c r="D50" s="16">
        <v>40</v>
      </c>
      <c r="E50" s="16" t="str">
        <f>IF($B$4&gt;=D50,C50,B50)</f>
        <v>Pulmonary</v>
      </c>
      <c r="F50" s="20" t="str">
        <f>IF($B$4&gt;=D50,"🫁 SWITCHED","🔗 UMBILICAL")</f>
        <v>🫁 SWITCHED</v>
      </c>
    </row>
    <row r="51" spans="1:6">
      <c r="A51" s="40" t="s">
        <v>1208</v>
      </c>
      <c r="B51" s="16" t="s">
        <v>1209</v>
      </c>
      <c r="C51" s="16" t="s">
        <v>1210</v>
      </c>
      <c r="D51" s="16">
        <v>40</v>
      </c>
      <c r="E51" s="16" t="str">
        <f>IF($B$4&gt;=D51,C51,B51)</f>
        <v>Digestive</v>
      </c>
      <c r="F51" s="20" t="str">
        <f>IF($B$4&gt;=D51,"🍼 SWITCHED","🔗 UMBILICAL")</f>
        <v>🍼 SWITCHED</v>
      </c>
    </row>
    <row r="52" spans="1:6">
      <c r="A52" s="40" t="s">
        <v>818</v>
      </c>
      <c r="B52" s="16" t="s">
        <v>4232</v>
      </c>
      <c r="C52" s="16" t="s">
        <v>4233</v>
      </c>
      <c r="D52" s="16">
        <v>40</v>
      </c>
      <c r="E52" s="16" t="str">
        <f>IF($B$4&gt;=D52,C52,B52)</f>
        <v>Closed</v>
      </c>
      <c r="F52" s="20" t="str">
        <f>IF($B$4&gt;=D52,"🔒 CLOSED","🔓 OPEN")</f>
        <v>🔒 CLOSED</v>
      </c>
    </row>
    <row r="53" spans="1:6">
      <c r="A53" s="40" t="s">
        <v>823</v>
      </c>
      <c r="B53" s="16" t="s">
        <v>4232</v>
      </c>
      <c r="C53" s="16" t="s">
        <v>4233</v>
      </c>
      <c r="D53" s="16">
        <v>40</v>
      </c>
      <c r="E53" s="16" t="str">
        <f>IF($B$4&gt;=D53,C53,B53)</f>
        <v>Closed</v>
      </c>
      <c r="F53" s="20" t="str">
        <f>IF($B$4&gt;=D53,"🔒 CLOSED","🔓 OPEN")</f>
        <v>🔒 CLOSED</v>
      </c>
    </row>
    <row r="54" spans="1:6">
      <c r="A54" s="40" t="s">
        <v>4234</v>
      </c>
      <c r="B54" s="16" t="s">
        <v>4235</v>
      </c>
      <c r="C54" s="16" t="s">
        <v>4236</v>
      </c>
      <c r="D54" s="16">
        <v>40</v>
      </c>
      <c r="E54" s="16" t="str">
        <f>IF($B$4&gt;=D54,C54,B54)</f>
        <v>Independent</v>
      </c>
      <c r="F54" s="20" t="str">
        <f>IF($B$4&gt;=D54,"💓 INDEPENDENT","💓 SYNCED")</f>
        <v>💓 INDEPENDENT</v>
      </c>
    </row>
    <row r="55" spans="1:6">
      <c r="A55" s="40" t="s">
        <v>2299</v>
      </c>
      <c r="B55" s="16" t="s">
        <v>1216</v>
      </c>
      <c r="C55" s="16" t="s">
        <v>1217</v>
      </c>
      <c r="D55" s="16">
        <v>40</v>
      </c>
      <c r="E55" s="16" t="str">
        <f>IF($B$4&gt;=D55,C55,B55)</f>
        <v>Self-Regulated</v>
      </c>
      <c r="F55" s="20" t="str">
        <f>IF($B$4&gt;=D55,"🌡️ SELF-REG","🌡️ MATERNAL")</f>
        <v>🌡️ SELF-REG</v>
      </c>
    </row>
    <row r="56" spans="1:6">
      <c r="A56" s="305" t="s">
        <v>4237</v>
      </c>
      <c r="B56" s="18" t="s">
        <v>4238</v>
      </c>
      <c r="C56" s="18" t="s">
        <v>4239</v>
      </c>
      <c r="D56" s="18">
        <v>40</v>
      </c>
      <c r="E56" s="18" t="str">
        <f>IF($B$4&gt;=D56,C56,B56)</f>
        <v>Autonomous</v>
      </c>
      <c r="F56" s="21" t="str">
        <f>IF($B$4&gt;=D56,"🧠 ACTIVE","😴 DORMANT")</f>
        <v>🧠 ACTIVE</v>
      </c>
    </row>
    <row r="58" spans="1:6">
      <c r="A58" s="140" t="s">
        <v>4240</v>
      </c>
      <c r="E58" s="135" t="s">
        <v>4241</v>
      </c>
    </row>
    <row r="59" spans="1:6">
      <c r="A59" s="1" t="s">
        <v>4242</v>
      </c>
      <c r="B59" t="str">
        <f>F43&amp;" °C"</f>
        <v>37 °C</v>
      </c>
      <c r="C59" t="str">
        <f>IF(F43&gt;=36.5,IF(F43&lt;=37.5,"✅ Optimal","⚠️ High"),"⚠️ Low")</f>
        <v>✅ Optimal</v>
      </c>
      <c r="E59" s="1" t="s">
        <v>1207</v>
      </c>
      <c r="F59">
        <v>40</v>
      </c>
    </row>
    <row r="60" spans="1:6">
      <c r="A60" s="1" t="s">
        <v>4243</v>
      </c>
      <c r="B60" t="str">
        <f>IF($B$4&lt;40,ROUND(MIN(100,$B$4/40*100),0)&amp;"%","N/A (Born)")</f>
        <v>N/A (Born)</v>
      </c>
      <c r="C60" t="str">
        <f>IF($B$4&gt;=40,"N/A","✅ Normal")</f>
        <v>N/A</v>
      </c>
      <c r="E60" s="1" t="s">
        <v>563</v>
      </c>
      <c r="F60">
        <f>$B$4</f>
        <v>50</v>
      </c>
    </row>
    <row r="61" spans="1:6">
      <c r="A61" s="1" t="s">
        <v>565</v>
      </c>
      <c r="B61" t="str">
        <f>IF($B$4&lt;40,ROUND(MIN(100,$B$4/40*100),0)&amp;"%","Digestive Active")</f>
        <v>Digestive Active</v>
      </c>
      <c r="C61" t="str">
        <f>IF($B$4&gt;=40,"🍼 External","✅ Flowing")</f>
        <v>🍼 External</v>
      </c>
      <c r="E61" s="1" t="s">
        <v>4244</v>
      </c>
      <c r="F61" t="str">
        <f>ROUND(MIN(100,$B$4/40*100),0)&amp;"%"</f>
        <v>100%</v>
      </c>
    </row>
    <row r="62" spans="1:6">
      <c r="A62" s="1" t="s">
        <v>4245</v>
      </c>
      <c r="B62" t="str">
        <f>IF($B$4&lt;40,ROUND(95+$B$4/40*3,0)&amp;"%","98% (Pulmonary)")</f>
        <v>98% (Pulmonary)</v>
      </c>
      <c r="C62" t="str">
        <f>"✅ Healthy"</f>
        <v>✅ Healthy</v>
      </c>
      <c r="E62" s="1" t="s">
        <v>4137</v>
      </c>
      <c r="F62" t="str">
        <f>IF($B$4&gt;=40,"🎉 BORN!",IF($B$4&gt;=36,"⏰ IMMINENT",IF($B$4&gt;=28,"🔄 VIABLE","🔄 GESTATING")))</f>
        <v>🎉 BORN!</v>
      </c>
    </row>
    <row r="63" spans="1:6">
      <c r="A63" s="1" t="s">
        <v>4246</v>
      </c>
      <c r="B63" t="str">
        <f>F38&amp;" BPM"</f>
        <v>65 BPM</v>
      </c>
      <c r="C63" t="str">
        <f>IF(F38&gt;=60,IF(F38&lt;=100,"✅ Normal","⚠️ High"),"⚠️ Low")</f>
        <v>✅ Normal</v>
      </c>
      <c r="E63" s="1" t="s">
        <v>4247</v>
      </c>
      <c r="F63" t="str">
        <f>IF($B$4&gt;=40,($B$4-40)&amp;" weeks","Not born yet")</f>
        <v>10 weeks</v>
      </c>
    </row>
    <row r="64" spans="1:6">
      <c r="A64" s="1" t="s">
        <v>4248</v>
      </c>
      <c r="B64" t="str">
        <f>F40&amp;" BPM"</f>
        <v>147 BPM</v>
      </c>
      <c r="C64" t="str">
        <f>IF(F40&gt;=100,IF(F40&lt;=180,"✅ Healthy","⚠️ High"),IF($B$4&lt;6,"⏳ Pending","⚠️ Low"))</f>
        <v>✅ Healthy</v>
      </c>
      <c r="E64" s="1" t="s">
        <v>4249</v>
      </c>
      <c r="F64" t="str">
        <f>IF($B$4&gt;=40,"8/8 ✅",COUNTIF(F49:F56,"*SWITCHED*")+COUNTIF(F49:F56,"*CLOSED*")+COUNTIF(F49:F56,"*SEVERED*")+COUNTIF(F49:F56,"*INDEPENDENT*")+COUNTIF(F49:F56,"*SELF*")+COUNTIF(F49:F56,"*ACTIVE*")&amp;"/8")</f>
        <v>8/8 ✅</v>
      </c>
    </row>
    <row r="65" spans="1:3">
      <c r="A65" s="1" t="s">
        <v>4250</v>
      </c>
      <c r="B65" t="str">
        <f>IF($B$4&lt;8,"0%",ROUND(MIN(100,($B$4-8)/32*100),0)&amp;"%")</f>
        <v>100%</v>
      </c>
      <c r="C65" t="str">
        <f>IF($B$4&gt;=40,"✅ Strong",IF($B$4&gt;=20,"🔄 Growing","⏳ Forming"))</f>
        <v>✅ Strong</v>
      </c>
    </row>
    <row r="66" spans="1:3">
      <c r="A66" s="1" t="s">
        <v>4251</v>
      </c>
      <c r="B66" t="str">
        <f>IF($B$4&lt;12,"0%",ROUND(MIN(100,($B$4-12)/28*100),0)&amp;"%")</f>
        <v>100%</v>
      </c>
      <c r="C66" t="str">
        <f>IF($B$4&gt;=40,"✅ Complete",IF($B$4&gt;=20,"🔄 Syncing","⏳ Forming"))</f>
        <v>✅ Complete</v>
      </c>
    </row>
    <row r="68" spans="1:3">
      <c r="A68" s="133" t="s">
        <v>1869</v>
      </c>
    </row>
    <row r="69" spans="1:3">
      <c r="A69" s="296" t="s">
        <v>4252</v>
      </c>
      <c r="B69" s="296" t="s">
        <v>2721</v>
      </c>
      <c r="C69" s="296" t="s">
        <v>562</v>
      </c>
    </row>
    <row r="70" spans="1:3">
      <c r="A70" t="s">
        <v>833</v>
      </c>
      <c r="B70" t="s">
        <v>4253</v>
      </c>
      <c r="C70" t="s">
        <v>1987</v>
      </c>
    </row>
    <row r="71" spans="1:3">
      <c r="A71" t="s">
        <v>3925</v>
      </c>
      <c r="B71" t="s">
        <v>4254</v>
      </c>
      <c r="C71" t="s">
        <v>1987</v>
      </c>
    </row>
    <row r="72" spans="1:3">
      <c r="A72" t="s">
        <v>3777</v>
      </c>
      <c r="B72" t="s">
        <v>4255</v>
      </c>
      <c r="C72" t="s">
        <v>1987</v>
      </c>
    </row>
    <row r="73" spans="1:3">
      <c r="A73" t="s">
        <v>882</v>
      </c>
      <c r="B73" t="s">
        <v>4256</v>
      </c>
      <c r="C73" t="s">
        <v>1987</v>
      </c>
    </row>
    <row r="74" spans="1:3">
      <c r="A74" t="s">
        <v>836</v>
      </c>
      <c r="B74" t="s">
        <v>4257</v>
      </c>
      <c r="C74" t="s">
        <v>1987</v>
      </c>
    </row>
    <row r="75" spans="1:3">
      <c r="A75" t="s">
        <v>3297</v>
      </c>
      <c r="B75" t="s">
        <v>4258</v>
      </c>
      <c r="C75" t="s">
        <v>1987</v>
      </c>
    </row>
    <row r="76" spans="1:3">
      <c r="A76" t="s">
        <v>2919</v>
      </c>
      <c r="B76" t="s">
        <v>2733</v>
      </c>
      <c r="C76" t="s">
        <v>1987</v>
      </c>
    </row>
  </sheetData>
  <mergeCells count="1"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34E6-4840-4D69-98F6-8D369700EC51}">
  <dimension ref="A1:I60"/>
  <sheetViews>
    <sheetView workbookViewId="0"/>
  </sheetViews>
  <sheetFormatPr defaultRowHeight="15"/>
  <cols>
    <col min="1" max="1" width="4.7109375" customWidth="1"/>
    <col min="2" max="2" width="5.7109375" customWidth="1"/>
    <col min="3" max="3" width="2.85546875" customWidth="1"/>
    <col min="4" max="4" width="2.28515625" customWidth="1"/>
    <col min="5" max="5" width="3.85546875" customWidth="1"/>
    <col min="7" max="7" width="4.7109375" customWidth="1"/>
    <col min="8" max="8" width="3.85546875" customWidth="1"/>
    <col min="9" max="9" width="5.7109375" customWidth="1"/>
  </cols>
  <sheetData>
    <row r="1" spans="1:9" ht="21">
      <c r="A1" s="353" t="s">
        <v>4259</v>
      </c>
      <c r="B1" s="321"/>
      <c r="C1" s="321"/>
      <c r="D1" s="321"/>
      <c r="E1" s="321"/>
      <c r="F1" s="321"/>
      <c r="G1" s="321"/>
      <c r="H1" s="321"/>
    </row>
    <row r="3" spans="1:9">
      <c r="A3" s="1" t="s">
        <v>4260</v>
      </c>
      <c r="G3" s="1" t="s">
        <v>4261</v>
      </c>
    </row>
    <row r="4" spans="1:9">
      <c r="A4" t="s">
        <v>563</v>
      </c>
      <c r="B4">
        <f>'DNA Loop Engine'!B5</f>
        <v>50</v>
      </c>
      <c r="G4" s="188" t="s">
        <v>2559</v>
      </c>
      <c r="H4" s="188" t="s">
        <v>3599</v>
      </c>
      <c r="I4" s="188" t="s">
        <v>4262</v>
      </c>
    </row>
    <row r="5" spans="1:9">
      <c r="A5" t="s">
        <v>561</v>
      </c>
      <c r="B5">
        <f>'DNA Loop Engine'!B4</f>
        <v>4000</v>
      </c>
      <c r="G5" t="s">
        <v>4263</v>
      </c>
      <c r="H5" t="s">
        <v>833</v>
      </c>
      <c r="I5" t="s">
        <v>4264</v>
      </c>
    </row>
    <row r="6" spans="1:9">
      <c r="A6" t="s">
        <v>579</v>
      </c>
      <c r="B6" s="6">
        <f>'DNA Loop Engine'!B18</f>
        <v>1</v>
      </c>
      <c r="G6" t="s">
        <v>4265</v>
      </c>
      <c r="H6" t="s">
        <v>4266</v>
      </c>
      <c r="I6" t="s">
        <v>4267</v>
      </c>
    </row>
    <row r="7" spans="1:9">
      <c r="A7" t="s">
        <v>581</v>
      </c>
      <c r="B7" s="6">
        <f>'DNA Loop Engine'!B19</f>
        <v>1</v>
      </c>
      <c r="G7" t="s">
        <v>4265</v>
      </c>
      <c r="H7" t="s">
        <v>4268</v>
      </c>
      <c r="I7" t="s">
        <v>4269</v>
      </c>
    </row>
    <row r="8" spans="1:9">
      <c r="A8" t="s">
        <v>4137</v>
      </c>
      <c r="B8" t="str">
        <f>'DNA Loop Engine'!B8</f>
        <v>🎉 BIRTH COMPLETE</v>
      </c>
      <c r="G8" t="s">
        <v>4270</v>
      </c>
      <c r="H8" t="s">
        <v>839</v>
      </c>
      <c r="I8" t="s">
        <v>4271</v>
      </c>
    </row>
    <row r="9" spans="1:9">
      <c r="G9" t="s">
        <v>4270</v>
      </c>
      <c r="H9" t="s">
        <v>1170</v>
      </c>
      <c r="I9" t="s">
        <v>4272</v>
      </c>
    </row>
    <row r="10" spans="1:9">
      <c r="A10" s="1" t="s">
        <v>4273</v>
      </c>
      <c r="G10" t="s">
        <v>4270</v>
      </c>
      <c r="H10" t="s">
        <v>882</v>
      </c>
      <c r="I10" t="s">
        <v>4274</v>
      </c>
    </row>
    <row r="11" spans="1:9">
      <c r="A11" s="307" t="s">
        <v>4275</v>
      </c>
      <c r="B11" s="307" t="s">
        <v>4276</v>
      </c>
      <c r="C11" s="307" t="s">
        <v>42</v>
      </c>
      <c r="D11" s="307" t="s">
        <v>4277</v>
      </c>
      <c r="E11" s="307" t="s">
        <v>562</v>
      </c>
      <c r="G11" t="s">
        <v>4270</v>
      </c>
      <c r="H11" t="s">
        <v>836</v>
      </c>
      <c r="I11" t="s">
        <v>4278</v>
      </c>
    </row>
    <row r="12" spans="1:9">
      <c r="A12" s="308">
        <v>1</v>
      </c>
      <c r="B12" s="308" t="s">
        <v>833</v>
      </c>
      <c r="C12" s="308" t="s">
        <v>2081</v>
      </c>
      <c r="D12" s="308" t="s">
        <v>4279</v>
      </c>
      <c r="E12" s="308" t="s">
        <v>4280</v>
      </c>
      <c r="G12" t="s">
        <v>4281</v>
      </c>
      <c r="H12" t="s">
        <v>3474</v>
      </c>
      <c r="I12" t="s">
        <v>4282</v>
      </c>
    </row>
    <row r="13" spans="1:9">
      <c r="A13" s="308">
        <v>2</v>
      </c>
      <c r="B13" s="308" t="s">
        <v>4283</v>
      </c>
      <c r="C13" s="308" t="s">
        <v>2081</v>
      </c>
      <c r="D13" s="308" t="s">
        <v>4284</v>
      </c>
      <c r="E13" s="308" t="s">
        <v>4285</v>
      </c>
      <c r="G13" t="s">
        <v>4281</v>
      </c>
      <c r="H13" t="s">
        <v>3643</v>
      </c>
      <c r="I13" t="s">
        <v>4286</v>
      </c>
    </row>
    <row r="14" spans="1:9">
      <c r="A14" s="308">
        <v>3</v>
      </c>
      <c r="B14" s="308" t="s">
        <v>4287</v>
      </c>
      <c r="C14" s="308" t="s">
        <v>2081</v>
      </c>
      <c r="D14" s="308" t="s">
        <v>4284</v>
      </c>
      <c r="E14" s="308" t="s">
        <v>4285</v>
      </c>
      <c r="G14" t="s">
        <v>4281</v>
      </c>
      <c r="H14" t="s">
        <v>3777</v>
      </c>
      <c r="I14" t="s">
        <v>4288</v>
      </c>
    </row>
    <row r="15" spans="1:9">
      <c r="A15" s="308">
        <v>4</v>
      </c>
      <c r="B15" s="308" t="s">
        <v>4268</v>
      </c>
      <c r="C15" s="308" t="s">
        <v>2081</v>
      </c>
      <c r="D15" s="308" t="s">
        <v>4284</v>
      </c>
      <c r="E15" s="308" t="s">
        <v>4285</v>
      </c>
      <c r="G15" t="s">
        <v>4281</v>
      </c>
      <c r="H15" t="s">
        <v>3925</v>
      </c>
      <c r="I15" t="s">
        <v>4289</v>
      </c>
    </row>
    <row r="16" spans="1:9">
      <c r="A16" s="308">
        <v>5</v>
      </c>
      <c r="B16" s="308" t="s">
        <v>839</v>
      </c>
      <c r="C16" s="308" t="s">
        <v>4290</v>
      </c>
      <c r="D16" s="308" t="s">
        <v>3812</v>
      </c>
      <c r="E16" s="308" t="s">
        <v>1987</v>
      </c>
      <c r="G16" t="s">
        <v>4291</v>
      </c>
      <c r="H16" t="s">
        <v>4286</v>
      </c>
      <c r="I16" t="s">
        <v>4292</v>
      </c>
    </row>
    <row r="17" spans="1:9">
      <c r="A17" s="308">
        <v>6</v>
      </c>
      <c r="B17" s="308" t="s">
        <v>836</v>
      </c>
      <c r="C17" s="308" t="s">
        <v>4293</v>
      </c>
      <c r="D17" s="308" t="s">
        <v>3812</v>
      </c>
      <c r="E17" s="308" t="s">
        <v>1987</v>
      </c>
      <c r="G17" t="s">
        <v>4291</v>
      </c>
      <c r="H17" t="s">
        <v>3940</v>
      </c>
      <c r="I17" t="s">
        <v>3072</v>
      </c>
    </row>
    <row r="18" spans="1:9">
      <c r="A18" s="308">
        <v>7</v>
      </c>
      <c r="B18" s="308" t="s">
        <v>882</v>
      </c>
      <c r="C18" s="308" t="s">
        <v>4293</v>
      </c>
      <c r="D18" s="308" t="s">
        <v>3812</v>
      </c>
      <c r="E18" s="308" t="s">
        <v>1987</v>
      </c>
      <c r="G18" t="s">
        <v>4291</v>
      </c>
      <c r="H18" t="s">
        <v>3072</v>
      </c>
      <c r="I18" t="s">
        <v>3078</v>
      </c>
    </row>
    <row r="19" spans="1:9">
      <c r="A19" s="308">
        <v>8</v>
      </c>
      <c r="B19" s="308" t="s">
        <v>966</v>
      </c>
      <c r="C19" s="308" t="s">
        <v>4293</v>
      </c>
      <c r="D19" s="308" t="s">
        <v>3812</v>
      </c>
      <c r="E19" s="308" t="s">
        <v>1987</v>
      </c>
      <c r="G19" t="s">
        <v>4294</v>
      </c>
      <c r="H19" t="s">
        <v>3078</v>
      </c>
      <c r="I19" t="s">
        <v>4295</v>
      </c>
    </row>
    <row r="20" spans="1:9">
      <c r="A20" s="308">
        <v>9</v>
      </c>
      <c r="B20" s="308" t="s">
        <v>1170</v>
      </c>
      <c r="C20" s="308" t="s">
        <v>4293</v>
      </c>
      <c r="D20" s="308" t="s">
        <v>3812</v>
      </c>
      <c r="E20" s="308" t="s">
        <v>1987</v>
      </c>
    </row>
    <row r="21" spans="1:9">
      <c r="A21" s="308">
        <v>10</v>
      </c>
      <c r="B21" s="308" t="s">
        <v>1350</v>
      </c>
      <c r="C21" s="308" t="s">
        <v>4290</v>
      </c>
      <c r="D21" s="308" t="s">
        <v>4284</v>
      </c>
      <c r="E21" s="308" t="s">
        <v>4285</v>
      </c>
      <c r="G21" s="1" t="s">
        <v>4296</v>
      </c>
    </row>
    <row r="22" spans="1:9">
      <c r="A22" s="308">
        <v>11</v>
      </c>
      <c r="B22" s="308" t="s">
        <v>1643</v>
      </c>
      <c r="C22" s="308" t="s">
        <v>4297</v>
      </c>
      <c r="D22" s="308" t="s">
        <v>3812</v>
      </c>
      <c r="E22" s="308" t="s">
        <v>1987</v>
      </c>
      <c r="G22" s="254" t="s">
        <v>4298</v>
      </c>
      <c r="H22" s="254" t="s">
        <v>4299</v>
      </c>
      <c r="I22" s="254" t="s">
        <v>562</v>
      </c>
    </row>
    <row r="23" spans="1:9">
      <c r="A23" s="308">
        <v>12</v>
      </c>
      <c r="B23" s="308" t="s">
        <v>4300</v>
      </c>
      <c r="C23" s="308" t="s">
        <v>4290</v>
      </c>
      <c r="D23" s="308" t="s">
        <v>4284</v>
      </c>
      <c r="E23" s="308" t="s">
        <v>4285</v>
      </c>
      <c r="G23" t="s">
        <v>4301</v>
      </c>
      <c r="H23">
        <f>'DNA Loop Engine'!B5</f>
        <v>50</v>
      </c>
      <c r="I23" t="str">
        <f>IF(ISNUMBER(H23),"🟢 OK","🔴 ERROR")</f>
        <v>🟢 OK</v>
      </c>
    </row>
    <row r="24" spans="1:9">
      <c r="A24" s="308">
        <v>13</v>
      </c>
      <c r="B24" s="308" t="s">
        <v>1748</v>
      </c>
      <c r="C24" s="308" t="s">
        <v>4297</v>
      </c>
      <c r="D24" s="308" t="s">
        <v>3812</v>
      </c>
      <c r="E24" s="308" t="s">
        <v>1987</v>
      </c>
      <c r="G24" t="s">
        <v>533</v>
      </c>
      <c r="H24" s="6">
        <f>'DNA Loop Engine'!B18</f>
        <v>1</v>
      </c>
      <c r="I24" t="str">
        <f>IF(ISNUMBER(H24),"🟢 OK","🔴 ERROR")</f>
        <v>🟢 OK</v>
      </c>
    </row>
    <row r="25" spans="1:9">
      <c r="A25" s="308">
        <v>14</v>
      </c>
      <c r="B25" s="308" t="s">
        <v>1883</v>
      </c>
      <c r="C25" s="308" t="s">
        <v>4290</v>
      </c>
      <c r="D25" s="308" t="s">
        <v>4284</v>
      </c>
      <c r="E25" s="308" t="s">
        <v>4285</v>
      </c>
      <c r="G25" t="s">
        <v>534</v>
      </c>
      <c r="H25" s="6">
        <f>'DNA Loop Engine'!B19</f>
        <v>1</v>
      </c>
      <c r="I25" t="str">
        <f>IF(ISNUMBER(H25),"🟢 OK","🔴 ERROR")</f>
        <v>🟢 OK</v>
      </c>
    </row>
    <row r="26" spans="1:9">
      <c r="A26" s="308">
        <v>15</v>
      </c>
      <c r="B26" s="308" t="s">
        <v>1988</v>
      </c>
      <c r="C26" s="308" t="s">
        <v>4297</v>
      </c>
      <c r="D26" s="308" t="s">
        <v>3812</v>
      </c>
      <c r="E26" s="308" t="s">
        <v>1987</v>
      </c>
      <c r="G26" t="s">
        <v>1186</v>
      </c>
      <c r="H26">
        <f>'DNA Loop Engine'!B59</f>
        <v>137.96153846153845</v>
      </c>
      <c r="I26" t="str">
        <f>IF(ISNUMBER(H26),"🟢 OK","🔴 ERROR")</f>
        <v>🟢 OK</v>
      </c>
    </row>
    <row r="27" spans="1:9">
      <c r="A27" s="308">
        <v>16</v>
      </c>
      <c r="B27" s="308" t="s">
        <v>2078</v>
      </c>
      <c r="C27" s="308" t="s">
        <v>4297</v>
      </c>
      <c r="D27" s="308" t="s">
        <v>3812</v>
      </c>
      <c r="E27" s="308" t="s">
        <v>1987</v>
      </c>
      <c r="G27" t="s">
        <v>4302</v>
      </c>
      <c r="H27" s="13">
        <f>'Sensory Integration'!R2</f>
        <v>1.7</v>
      </c>
      <c r="I27" t="str">
        <f>IF(ISNUMBER(H27),"🟢 OK","🔴 ERROR")</f>
        <v>🟢 OK</v>
      </c>
    </row>
    <row r="28" spans="1:9">
      <c r="A28" s="308">
        <v>17</v>
      </c>
      <c r="B28" s="308" t="s">
        <v>2924</v>
      </c>
      <c r="C28" s="308" t="s">
        <v>4297</v>
      </c>
      <c r="D28" s="308" t="s">
        <v>3812</v>
      </c>
      <c r="E28" s="308" t="s">
        <v>1987</v>
      </c>
      <c r="G28" t="s">
        <v>4303</v>
      </c>
      <c r="H28" s="11">
        <f>'Circulatory System'!L2</f>
        <v>1</v>
      </c>
      <c r="I28" t="str">
        <f>IF(ISNUMBER(H28),"🟢 OK","🔴 ERROR")</f>
        <v>🟢 OK</v>
      </c>
    </row>
    <row r="29" spans="1:9">
      <c r="A29" s="308">
        <v>18</v>
      </c>
      <c r="B29" s="308" t="s">
        <v>2754</v>
      </c>
      <c r="C29" s="308" t="s">
        <v>2129</v>
      </c>
      <c r="D29" s="308" t="s">
        <v>3812</v>
      </c>
      <c r="E29" s="308" t="s">
        <v>1987</v>
      </c>
      <c r="G29" t="s">
        <v>4304</v>
      </c>
      <c r="H29" s="11">
        <f>'Respiratory Control'!L2</f>
        <v>1</v>
      </c>
      <c r="I29" t="str">
        <f>IF(ISNUMBER(H29),"🟢 OK","🔴 ERROR")</f>
        <v>🟢 OK</v>
      </c>
    </row>
    <row r="30" spans="1:9">
      <c r="A30" s="308">
        <v>19</v>
      </c>
      <c r="B30" s="308" t="s">
        <v>2927</v>
      </c>
      <c r="C30" s="308" t="s">
        <v>2129</v>
      </c>
      <c r="D30" s="308" t="s">
        <v>3812</v>
      </c>
      <c r="E30" s="308" t="s">
        <v>1987</v>
      </c>
      <c r="G30" t="s">
        <v>4305</v>
      </c>
      <c r="H30">
        <f>'Parental Genesis'!B4</f>
        <v>50</v>
      </c>
      <c r="I30" t="str">
        <f>IF(ISNUMBER(H30),"🟢 OK","🔴 ERROR")</f>
        <v>🟢 OK</v>
      </c>
    </row>
    <row r="31" spans="1:9">
      <c r="A31" s="308">
        <v>20</v>
      </c>
      <c r="B31" s="308" t="s">
        <v>2919</v>
      </c>
      <c r="C31" s="308" t="s">
        <v>2618</v>
      </c>
      <c r="D31" s="308" t="s">
        <v>3812</v>
      </c>
      <c r="E31" s="308" t="s">
        <v>1987</v>
      </c>
      <c r="G31" t="s">
        <v>4306</v>
      </c>
      <c r="H31" t="str">
        <f>'Parental Genesis'!B8</f>
        <v>🎉 BORN</v>
      </c>
      <c r="I31" t="str">
        <f>IF(LEN(H31)&gt;0,"🟢 OK","🔴 ERROR")</f>
        <v>🟢 OK</v>
      </c>
    </row>
    <row r="32" spans="1:9">
      <c r="A32" s="308">
        <v>21</v>
      </c>
      <c r="B32" s="308" t="s">
        <v>3297</v>
      </c>
      <c r="C32" s="308" t="s">
        <v>2618</v>
      </c>
      <c r="D32" s="308" t="s">
        <v>3812</v>
      </c>
      <c r="E32" s="308" t="s">
        <v>1987</v>
      </c>
    </row>
    <row r="33" spans="1:7">
      <c r="A33" s="308">
        <v>22</v>
      </c>
      <c r="B33" s="308" t="s">
        <v>3911</v>
      </c>
      <c r="C33" s="308" t="s">
        <v>2129</v>
      </c>
      <c r="D33" s="308" t="s">
        <v>3812</v>
      </c>
      <c r="E33" s="308" t="s">
        <v>1987</v>
      </c>
      <c r="G33" s="1" t="s">
        <v>4307</v>
      </c>
    </row>
    <row r="34" spans="1:7" ht="18.75">
      <c r="A34" s="308">
        <v>23</v>
      </c>
      <c r="B34" s="308" t="s">
        <v>3072</v>
      </c>
      <c r="C34" s="308" t="s">
        <v>2129</v>
      </c>
      <c r="D34" s="308" t="s">
        <v>3812</v>
      </c>
      <c r="E34" s="308" t="s">
        <v>1987</v>
      </c>
      <c r="G34" s="14" t="str">
        <f>IF(COUNTIF(I23:I31,"🔴 ERROR")=0,"✅ ALL SYSTEMS OPERATIONAL","⚠️ "&amp;COUNTIF(I23:I31,"🔴 ERROR")&amp;" ERRORS DETECTED")</f>
        <v>✅ ALL SYSTEMS OPERATIONAL</v>
      </c>
    </row>
    <row r="35" spans="1:7">
      <c r="A35" s="308">
        <v>24</v>
      </c>
      <c r="B35" s="308" t="s">
        <v>3078</v>
      </c>
      <c r="C35" s="308" t="s">
        <v>2129</v>
      </c>
      <c r="D35" s="308" t="s">
        <v>3812</v>
      </c>
      <c r="E35" s="308" t="s">
        <v>1987</v>
      </c>
    </row>
    <row r="36" spans="1:7">
      <c r="A36" s="308">
        <v>25</v>
      </c>
      <c r="B36" s="308" t="s">
        <v>4308</v>
      </c>
      <c r="C36" s="308" t="s">
        <v>2129</v>
      </c>
      <c r="D36" s="308" t="s">
        <v>3812</v>
      </c>
      <c r="E36" s="308" t="s">
        <v>1987</v>
      </c>
    </row>
    <row r="37" spans="1:7">
      <c r="A37" s="308">
        <v>26</v>
      </c>
      <c r="B37" s="308" t="s">
        <v>3474</v>
      </c>
      <c r="C37" s="308" t="s">
        <v>1553</v>
      </c>
      <c r="D37" s="308" t="s">
        <v>3812</v>
      </c>
      <c r="E37" s="308" t="s">
        <v>1987</v>
      </c>
    </row>
    <row r="38" spans="1:7">
      <c r="A38" s="308">
        <v>27</v>
      </c>
      <c r="B38" s="308" t="s">
        <v>3643</v>
      </c>
      <c r="C38" s="308" t="s">
        <v>1553</v>
      </c>
      <c r="D38" s="308" t="s">
        <v>3812</v>
      </c>
      <c r="E38" s="308" t="s">
        <v>1987</v>
      </c>
    </row>
    <row r="39" spans="1:7">
      <c r="A39" s="308">
        <v>28</v>
      </c>
      <c r="B39" s="308" t="s">
        <v>3777</v>
      </c>
      <c r="C39" s="308" t="s">
        <v>1553</v>
      </c>
      <c r="D39" s="308" t="s">
        <v>3812</v>
      </c>
      <c r="E39" s="308" t="s">
        <v>1987</v>
      </c>
    </row>
    <row r="40" spans="1:7">
      <c r="A40" s="308">
        <v>29</v>
      </c>
      <c r="B40" s="308" t="s">
        <v>3925</v>
      </c>
      <c r="C40" s="308" t="s">
        <v>1553</v>
      </c>
      <c r="D40" s="308" t="s">
        <v>3812</v>
      </c>
      <c r="E40" s="308" t="s">
        <v>1987</v>
      </c>
    </row>
    <row r="41" spans="1:7">
      <c r="A41" s="308">
        <v>30</v>
      </c>
      <c r="B41" s="308" t="s">
        <v>3724</v>
      </c>
      <c r="C41" s="308" t="s">
        <v>1553</v>
      </c>
      <c r="D41" s="308" t="s">
        <v>3812</v>
      </c>
      <c r="E41" s="308" t="s">
        <v>1987</v>
      </c>
    </row>
    <row r="42" spans="1:7">
      <c r="A42" s="308">
        <v>31</v>
      </c>
      <c r="B42" s="308" t="s">
        <v>3726</v>
      </c>
      <c r="C42" s="308" t="s">
        <v>1553</v>
      </c>
      <c r="D42" s="308" t="s">
        <v>3812</v>
      </c>
      <c r="E42" s="308" t="s">
        <v>1987</v>
      </c>
    </row>
    <row r="43" spans="1:7">
      <c r="A43" s="308">
        <v>32</v>
      </c>
      <c r="B43" s="308" t="s">
        <v>4286</v>
      </c>
      <c r="C43" s="308" t="s">
        <v>1553</v>
      </c>
      <c r="D43" s="308" t="s">
        <v>3812</v>
      </c>
      <c r="E43" s="308" t="s">
        <v>1987</v>
      </c>
    </row>
    <row r="44" spans="1:7">
      <c r="A44" s="308">
        <v>33</v>
      </c>
      <c r="B44" s="308" t="s">
        <v>3940</v>
      </c>
      <c r="C44" s="308" t="s">
        <v>4309</v>
      </c>
      <c r="D44" s="308" t="s">
        <v>3812</v>
      </c>
      <c r="E44" s="308" t="s">
        <v>1987</v>
      </c>
    </row>
    <row r="45" spans="1:7">
      <c r="A45" s="308">
        <v>34</v>
      </c>
      <c r="B45" s="308" t="s">
        <v>4310</v>
      </c>
      <c r="C45" s="308" t="s">
        <v>4309</v>
      </c>
      <c r="D45" s="308" t="s">
        <v>3812</v>
      </c>
      <c r="E45" s="308" t="s">
        <v>1987</v>
      </c>
    </row>
    <row r="46" spans="1:7">
      <c r="A46" s="308">
        <v>35</v>
      </c>
      <c r="B46" s="308" t="s">
        <v>4311</v>
      </c>
      <c r="C46" s="308" t="s">
        <v>4312</v>
      </c>
      <c r="D46" s="308" t="s">
        <v>3812</v>
      </c>
      <c r="E46" s="308" t="s">
        <v>1987</v>
      </c>
    </row>
    <row r="47" spans="1:7">
      <c r="A47" s="308">
        <v>36</v>
      </c>
      <c r="B47" s="308" t="s">
        <v>4266</v>
      </c>
      <c r="C47" s="308" t="s">
        <v>4312</v>
      </c>
      <c r="D47" s="308" t="s">
        <v>3812</v>
      </c>
      <c r="E47" s="308" t="s">
        <v>1987</v>
      </c>
    </row>
    <row r="48" spans="1:7">
      <c r="A48" s="308">
        <v>37</v>
      </c>
      <c r="B48" s="308" t="s">
        <v>4313</v>
      </c>
      <c r="C48" s="308" t="s">
        <v>4314</v>
      </c>
      <c r="D48" s="308" t="s">
        <v>4315</v>
      </c>
      <c r="E48" s="308" t="s">
        <v>4316</v>
      </c>
    </row>
    <row r="50" spans="1:2">
      <c r="A50" s="1" t="s">
        <v>4317</v>
      </c>
    </row>
    <row r="51" spans="1:2">
      <c r="A51" t="s">
        <v>4318</v>
      </c>
      <c r="B51">
        <v>37</v>
      </c>
    </row>
    <row r="52" spans="1:2">
      <c r="A52" t="s">
        <v>4319</v>
      </c>
      <c r="B52">
        <v>4</v>
      </c>
    </row>
    <row r="53" spans="1:2">
      <c r="A53" t="s">
        <v>4320</v>
      </c>
      <c r="B53">
        <v>4</v>
      </c>
    </row>
    <row r="54" spans="1:2">
      <c r="A54" t="s">
        <v>4321</v>
      </c>
      <c r="B54">
        <v>5</v>
      </c>
    </row>
    <row r="55" spans="1:2">
      <c r="A55" t="s">
        <v>4322</v>
      </c>
      <c r="B55">
        <v>4</v>
      </c>
    </row>
    <row r="56" spans="1:2">
      <c r="A56" t="s">
        <v>4323</v>
      </c>
      <c r="B56">
        <v>7</v>
      </c>
    </row>
    <row r="57" spans="1:2">
      <c r="A57" t="s">
        <v>4324</v>
      </c>
      <c r="B57">
        <v>6</v>
      </c>
    </row>
    <row r="58" spans="1:2">
      <c r="A58" t="s">
        <v>4325</v>
      </c>
      <c r="B58">
        <v>2</v>
      </c>
    </row>
    <row r="59" spans="1:2">
      <c r="A59" t="s">
        <v>4326</v>
      </c>
      <c r="B59">
        <v>2</v>
      </c>
    </row>
    <row r="60" spans="1:2">
      <c r="A60" t="s">
        <v>4327</v>
      </c>
      <c r="B60">
        <v>2</v>
      </c>
    </row>
  </sheetData>
  <mergeCells count="1">
    <mergeCell ref="A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C301-A89B-4C29-9AC6-94605ABFBFAC}">
  <dimension ref="A1:H86"/>
  <sheetViews>
    <sheetView workbookViewId="0"/>
  </sheetViews>
  <sheetFormatPr defaultRowHeight="15"/>
  <cols>
    <col min="1" max="1" width="26.7109375" customWidth="1"/>
    <col min="2" max="2" width="24.7109375" customWidth="1"/>
    <col min="3" max="3" width="15.28515625" customWidth="1"/>
    <col min="4" max="4" width="19" customWidth="1"/>
    <col min="5" max="5" width="22.85546875" customWidth="1"/>
    <col min="6" max="6" width="15.28515625" customWidth="1"/>
    <col min="7" max="7" width="19" customWidth="1"/>
    <col min="8" max="8" width="22.85546875" customWidth="1"/>
  </cols>
  <sheetData>
    <row r="1" spans="1:8" ht="21">
      <c r="A1" s="382" t="s">
        <v>4328</v>
      </c>
      <c r="B1" s="321"/>
      <c r="C1" s="321"/>
      <c r="D1" s="321"/>
      <c r="E1" s="321"/>
      <c r="F1" s="321"/>
    </row>
    <row r="3" spans="1:8">
      <c r="A3" s="8" t="s">
        <v>4329</v>
      </c>
      <c r="B3" s="8"/>
      <c r="C3" s="8"/>
      <c r="D3" s="8"/>
      <c r="E3" s="8"/>
      <c r="F3" s="8"/>
    </row>
    <row r="4" spans="1:8">
      <c r="A4" t="s">
        <v>4330</v>
      </c>
      <c r="B4" t="s">
        <v>4331</v>
      </c>
      <c r="D4" t="s">
        <v>4332</v>
      </c>
      <c r="E4">
        <v>1000</v>
      </c>
      <c r="F4" t="s">
        <v>596</v>
      </c>
    </row>
    <row r="5" spans="1:8">
      <c r="A5" t="s">
        <v>563</v>
      </c>
      <c r="B5">
        <f>'DNA Loop Engine'!B5</f>
        <v>50</v>
      </c>
      <c r="D5" t="s">
        <v>4333</v>
      </c>
      <c r="E5">
        <v>1000</v>
      </c>
      <c r="F5" t="s">
        <v>596</v>
      </c>
    </row>
    <row r="6" spans="1:8">
      <c r="A6" t="s">
        <v>561</v>
      </c>
      <c r="B6">
        <f>'DNA Loop Engine'!B4</f>
        <v>4000</v>
      </c>
      <c r="D6" t="s">
        <v>4334</v>
      </c>
      <c r="E6">
        <v>0</v>
      </c>
      <c r="F6" t="s">
        <v>596</v>
      </c>
    </row>
    <row r="7" spans="1:8">
      <c r="A7" t="s">
        <v>4049</v>
      </c>
      <c r="B7" t="str">
        <f>IF(MOD('DNA Loop Engine'!B4,160)&lt;80,"☀️ Day","🌙 Night")</f>
        <v>☀️ Day</v>
      </c>
      <c r="D7" t="s">
        <v>4335</v>
      </c>
      <c r="E7" t="s">
        <v>4336</v>
      </c>
    </row>
    <row r="8" spans="1:8">
      <c r="A8" t="s">
        <v>4337</v>
      </c>
      <c r="B8" t="str">
        <f>IF(MOD('DNA Loop Engine'!B5,52)&lt;13,"🌱 Spring",IF(MOD('DNA Loop Engine'!B5,52)&lt;26,"☀️ Summer",IF(MOD('DNA Loop Engine'!B5,52)&lt;39,"🍂 Autumn","❄️ Winter")))</f>
        <v>❄️ Winter</v>
      </c>
    </row>
    <row r="9" spans="1:8">
      <c r="A9" t="s">
        <v>3906</v>
      </c>
      <c r="B9">
        <v>9</v>
      </c>
      <c r="D9" t="s">
        <v>4338</v>
      </c>
      <c r="E9">
        <v>5</v>
      </c>
    </row>
    <row r="10" spans="1:8">
      <c r="A10" t="s">
        <v>4339</v>
      </c>
      <c r="B10">
        <v>5</v>
      </c>
      <c r="D10" t="s">
        <v>4340</v>
      </c>
      <c r="E10" t="s">
        <v>4341</v>
      </c>
    </row>
    <row r="13" spans="1:8">
      <c r="A13" s="383" t="s">
        <v>4342</v>
      </c>
      <c r="B13" s="321"/>
      <c r="C13" s="321"/>
      <c r="D13" s="321"/>
      <c r="E13" s="321"/>
      <c r="F13" s="321"/>
      <c r="G13" s="321"/>
      <c r="H13" s="321"/>
    </row>
    <row r="14" spans="1:8">
      <c r="A14" s="310" t="s">
        <v>4343</v>
      </c>
      <c r="B14" s="310" t="s">
        <v>598</v>
      </c>
      <c r="C14" s="310" t="s">
        <v>4344</v>
      </c>
      <c r="D14" s="310" t="s">
        <v>4345</v>
      </c>
      <c r="E14" s="310" t="s">
        <v>4346</v>
      </c>
      <c r="F14" s="310" t="s">
        <v>4347</v>
      </c>
      <c r="G14" s="310" t="s">
        <v>4348</v>
      </c>
      <c r="H14" s="310" t="s">
        <v>562</v>
      </c>
    </row>
    <row r="15" spans="1:8">
      <c r="A15" t="s">
        <v>4349</v>
      </c>
      <c r="B15" t="s">
        <v>4350</v>
      </c>
      <c r="C15">
        <v>1000</v>
      </c>
      <c r="D15">
        <v>1000</v>
      </c>
      <c r="E15">
        <v>1000</v>
      </c>
      <c r="F15">
        <v>1500</v>
      </c>
      <c r="G15">
        <v>500</v>
      </c>
      <c r="H15" t="s">
        <v>4351</v>
      </c>
    </row>
    <row r="16" spans="1:8">
      <c r="A16" t="s">
        <v>4352</v>
      </c>
      <c r="B16" t="s">
        <v>4353</v>
      </c>
      <c r="C16">
        <v>1000</v>
      </c>
      <c r="D16">
        <v>1000</v>
      </c>
      <c r="E16">
        <v>1000</v>
      </c>
      <c r="F16">
        <v>500</v>
      </c>
      <c r="G16">
        <v>500</v>
      </c>
      <c r="H16" t="s">
        <v>4351</v>
      </c>
    </row>
    <row r="17" spans="1:8">
      <c r="A17" t="s">
        <v>4354</v>
      </c>
      <c r="B17" t="s">
        <v>4355</v>
      </c>
      <c r="C17">
        <v>1000</v>
      </c>
      <c r="D17">
        <v>1000</v>
      </c>
      <c r="E17">
        <v>1500</v>
      </c>
      <c r="F17">
        <v>1000</v>
      </c>
      <c r="G17">
        <v>500</v>
      </c>
      <c r="H17" t="s">
        <v>4351</v>
      </c>
    </row>
    <row r="18" spans="1:8">
      <c r="A18" t="s">
        <v>4356</v>
      </c>
      <c r="B18" t="s">
        <v>4357</v>
      </c>
      <c r="C18">
        <v>1000</v>
      </c>
      <c r="D18">
        <v>1000</v>
      </c>
      <c r="E18">
        <v>500</v>
      </c>
      <c r="F18">
        <v>1000</v>
      </c>
      <c r="G18">
        <v>500</v>
      </c>
      <c r="H18" t="s">
        <v>4351</v>
      </c>
    </row>
    <row r="19" spans="1:8">
      <c r="A19" t="s">
        <v>4358</v>
      </c>
      <c r="B19" t="s">
        <v>4359</v>
      </c>
      <c r="C19">
        <v>1000</v>
      </c>
      <c r="D19">
        <v>1000</v>
      </c>
      <c r="E19" t="s">
        <v>2903</v>
      </c>
      <c r="F19" t="s">
        <v>2903</v>
      </c>
      <c r="G19" t="s">
        <v>4360</v>
      </c>
      <c r="H19" t="s">
        <v>1521</v>
      </c>
    </row>
    <row r="22" spans="1:8">
      <c r="A22" s="384" t="s">
        <v>4361</v>
      </c>
      <c r="B22" s="321"/>
      <c r="C22" s="321"/>
      <c r="D22" s="321"/>
      <c r="E22" s="321"/>
      <c r="F22" s="321"/>
      <c r="G22" s="321"/>
      <c r="H22" s="321"/>
    </row>
    <row r="23" spans="1:8">
      <c r="A23" s="164" t="s">
        <v>4362</v>
      </c>
      <c r="B23" s="164" t="s">
        <v>4363</v>
      </c>
      <c r="C23" s="164" t="s">
        <v>3798</v>
      </c>
      <c r="D23" s="164" t="s">
        <v>3799</v>
      </c>
      <c r="E23" s="164" t="s">
        <v>3800</v>
      </c>
      <c r="F23" s="164" t="s">
        <v>4364</v>
      </c>
      <c r="G23" s="164" t="s">
        <v>562</v>
      </c>
      <c r="H23" s="164" t="s">
        <v>504</v>
      </c>
    </row>
    <row r="24" spans="1:8">
      <c r="A24" t="s">
        <v>4365</v>
      </c>
      <c r="B24" t="s">
        <v>4366</v>
      </c>
      <c r="C24">
        <v>1050</v>
      </c>
      <c r="D24">
        <v>900</v>
      </c>
      <c r="E24">
        <v>0</v>
      </c>
      <c r="F24" t="s">
        <v>4367</v>
      </c>
      <c r="G24" t="s">
        <v>4368</v>
      </c>
      <c r="H24" t="s">
        <v>4369</v>
      </c>
    </row>
    <row r="25" spans="1:8">
      <c r="A25" t="s">
        <v>4370</v>
      </c>
      <c r="B25" t="s">
        <v>4371</v>
      </c>
      <c r="C25">
        <v>1070</v>
      </c>
      <c r="D25">
        <v>900</v>
      </c>
      <c r="E25">
        <v>0</v>
      </c>
      <c r="F25" t="s">
        <v>3819</v>
      </c>
      <c r="G25" t="s">
        <v>4368</v>
      </c>
      <c r="H25" t="s">
        <v>3818</v>
      </c>
    </row>
    <row r="26" spans="1:8">
      <c r="A26" t="s">
        <v>4372</v>
      </c>
      <c r="B26" t="s">
        <v>4373</v>
      </c>
      <c r="C26">
        <v>1090</v>
      </c>
      <c r="D26">
        <v>900</v>
      </c>
      <c r="E26">
        <v>0</v>
      </c>
      <c r="F26" t="s">
        <v>3826</v>
      </c>
      <c r="G26" t="s">
        <v>4368</v>
      </c>
      <c r="H26" t="s">
        <v>3825</v>
      </c>
    </row>
    <row r="27" spans="1:8">
      <c r="A27" t="s">
        <v>4374</v>
      </c>
      <c r="B27" t="s">
        <v>4375</v>
      </c>
      <c r="C27">
        <v>1110</v>
      </c>
      <c r="D27">
        <v>900</v>
      </c>
      <c r="E27">
        <v>0</v>
      </c>
      <c r="F27" t="s">
        <v>2903</v>
      </c>
      <c r="G27" t="s">
        <v>4376</v>
      </c>
    </row>
    <row r="28" spans="1:8">
      <c r="A28" t="s">
        <v>4377</v>
      </c>
      <c r="B28" t="s">
        <v>4378</v>
      </c>
      <c r="C28">
        <v>1130</v>
      </c>
      <c r="D28">
        <v>900</v>
      </c>
      <c r="E28">
        <v>0</v>
      </c>
      <c r="F28" t="s">
        <v>2903</v>
      </c>
      <c r="G28" t="s">
        <v>4376</v>
      </c>
    </row>
    <row r="29" spans="1:8">
      <c r="A29" t="s">
        <v>4379</v>
      </c>
      <c r="B29" t="s">
        <v>4380</v>
      </c>
      <c r="C29">
        <v>1050</v>
      </c>
      <c r="D29">
        <v>880</v>
      </c>
      <c r="E29">
        <v>0</v>
      </c>
      <c r="F29" t="s">
        <v>4381</v>
      </c>
      <c r="G29" t="s">
        <v>4368</v>
      </c>
      <c r="H29" t="s">
        <v>4382</v>
      </c>
    </row>
    <row r="30" spans="1:8">
      <c r="A30" t="s">
        <v>4383</v>
      </c>
      <c r="B30" t="s">
        <v>4384</v>
      </c>
      <c r="C30">
        <v>1070</v>
      </c>
      <c r="D30">
        <v>880</v>
      </c>
      <c r="E30">
        <v>0</v>
      </c>
      <c r="F30" t="s">
        <v>4385</v>
      </c>
      <c r="G30" t="s">
        <v>4368</v>
      </c>
      <c r="H30" t="s">
        <v>4386</v>
      </c>
    </row>
    <row r="31" spans="1:8">
      <c r="A31" s="162" t="s">
        <v>4387</v>
      </c>
      <c r="B31" s="162" t="s">
        <v>4388</v>
      </c>
      <c r="C31" s="162">
        <v>1090</v>
      </c>
      <c r="D31" s="162">
        <v>880</v>
      </c>
      <c r="E31" s="162">
        <v>0</v>
      </c>
      <c r="F31" s="162" t="s">
        <v>4389</v>
      </c>
      <c r="G31" s="162" t="s">
        <v>4390</v>
      </c>
      <c r="H31" s="162" t="s">
        <v>4391</v>
      </c>
    </row>
    <row r="32" spans="1:8">
      <c r="A32" t="s">
        <v>4392</v>
      </c>
      <c r="B32" t="s">
        <v>4393</v>
      </c>
      <c r="C32">
        <v>1110</v>
      </c>
      <c r="D32">
        <v>880</v>
      </c>
      <c r="E32">
        <v>0</v>
      </c>
      <c r="F32" t="s">
        <v>2903</v>
      </c>
      <c r="G32" t="s">
        <v>4376</v>
      </c>
    </row>
    <row r="33" spans="1:7">
      <c r="A33" t="s">
        <v>4394</v>
      </c>
      <c r="B33" t="s">
        <v>4395</v>
      </c>
      <c r="C33">
        <v>1130</v>
      </c>
      <c r="D33">
        <v>880</v>
      </c>
      <c r="E33">
        <v>0</v>
      </c>
      <c r="F33" t="s">
        <v>2903</v>
      </c>
      <c r="G33" t="s">
        <v>4376</v>
      </c>
    </row>
    <row r="36" spans="1:7">
      <c r="A36" s="372" t="s">
        <v>4396</v>
      </c>
      <c r="B36" s="321"/>
      <c r="C36" s="321"/>
      <c r="D36" s="321"/>
      <c r="E36" s="321"/>
      <c r="F36" s="321"/>
      <c r="G36" s="321"/>
    </row>
    <row r="37" spans="1:7">
      <c r="A37" s="311" t="s">
        <v>4397</v>
      </c>
      <c r="B37" s="311" t="s">
        <v>51</v>
      </c>
      <c r="C37" s="311" t="s">
        <v>52</v>
      </c>
      <c r="D37" s="311" t="s">
        <v>53</v>
      </c>
      <c r="E37" s="311" t="s">
        <v>4398</v>
      </c>
      <c r="F37" s="311" t="s">
        <v>1518</v>
      </c>
      <c r="G37" s="311" t="s">
        <v>2482</v>
      </c>
    </row>
    <row r="38" spans="1:7">
      <c r="A38" t="s">
        <v>4399</v>
      </c>
      <c r="B38">
        <v>0</v>
      </c>
      <c r="C38">
        <v>0</v>
      </c>
      <c r="D38">
        <v>0</v>
      </c>
      <c r="E38">
        <v>20</v>
      </c>
      <c r="F38" t="s">
        <v>4400</v>
      </c>
      <c r="G38" t="s">
        <v>1394</v>
      </c>
    </row>
    <row r="39" spans="1:7">
      <c r="A39" t="s">
        <v>4401</v>
      </c>
      <c r="B39">
        <v>5</v>
      </c>
      <c r="C39">
        <v>0</v>
      </c>
      <c r="D39">
        <v>0</v>
      </c>
      <c r="E39">
        <v>12</v>
      </c>
      <c r="F39" t="s">
        <v>4402</v>
      </c>
      <c r="G39" t="s">
        <v>2325</v>
      </c>
    </row>
    <row r="40" spans="1:7">
      <c r="A40" t="s">
        <v>4403</v>
      </c>
      <c r="B40">
        <v>0</v>
      </c>
      <c r="C40">
        <v>5</v>
      </c>
      <c r="D40">
        <v>0</v>
      </c>
      <c r="E40">
        <v>15</v>
      </c>
      <c r="F40" t="s">
        <v>4404</v>
      </c>
      <c r="G40" t="s">
        <v>4405</v>
      </c>
    </row>
    <row r="41" spans="1:7">
      <c r="A41" t="s">
        <v>4406</v>
      </c>
      <c r="B41">
        <v>5</v>
      </c>
      <c r="C41">
        <v>5</v>
      </c>
      <c r="D41">
        <v>0</v>
      </c>
      <c r="E41">
        <v>12</v>
      </c>
      <c r="F41" t="s">
        <v>4407</v>
      </c>
      <c r="G41" t="s">
        <v>4405</v>
      </c>
    </row>
    <row r="42" spans="1:7">
      <c r="A42" t="s">
        <v>4408</v>
      </c>
      <c r="B42">
        <v>8</v>
      </c>
      <c r="C42">
        <v>3</v>
      </c>
      <c r="D42">
        <v>0</v>
      </c>
      <c r="E42">
        <v>6</v>
      </c>
      <c r="F42" t="s">
        <v>4409</v>
      </c>
      <c r="G42" t="s">
        <v>4410</v>
      </c>
    </row>
    <row r="43" spans="1:7">
      <c r="A43" t="s">
        <v>4411</v>
      </c>
      <c r="B43">
        <v>0</v>
      </c>
      <c r="C43">
        <v>-5</v>
      </c>
      <c r="D43">
        <v>0</v>
      </c>
      <c r="E43">
        <v>25</v>
      </c>
      <c r="F43" t="s">
        <v>4412</v>
      </c>
      <c r="G43" t="s">
        <v>4413</v>
      </c>
    </row>
    <row r="44" spans="1:7">
      <c r="A44" t="s">
        <v>1148</v>
      </c>
      <c r="E44">
        <v>90</v>
      </c>
      <c r="F44" t="s">
        <v>4414</v>
      </c>
    </row>
    <row r="46" spans="1:7">
      <c r="A46" s="385" t="s">
        <v>4415</v>
      </c>
      <c r="B46" s="321"/>
      <c r="C46" s="321"/>
      <c r="D46" s="321"/>
      <c r="E46" s="321"/>
      <c r="F46" s="321"/>
      <c r="G46" s="321"/>
    </row>
    <row r="47" spans="1:7">
      <c r="A47" s="312" t="s">
        <v>4416</v>
      </c>
      <c r="B47" s="312" t="s">
        <v>4417</v>
      </c>
      <c r="C47" s="312" t="s">
        <v>3191</v>
      </c>
      <c r="D47" s="312" t="s">
        <v>4418</v>
      </c>
      <c r="E47" s="312" t="s">
        <v>4419</v>
      </c>
      <c r="F47" s="312" t="s">
        <v>562</v>
      </c>
      <c r="G47" s="312" t="s">
        <v>3600</v>
      </c>
    </row>
    <row r="48" spans="1:7">
      <c r="A48" t="s">
        <v>4420</v>
      </c>
      <c r="B48" t="s">
        <v>4421</v>
      </c>
      <c r="C48" t="s">
        <v>4422</v>
      </c>
      <c r="D48" t="s">
        <v>4423</v>
      </c>
      <c r="E48" t="s">
        <v>4424</v>
      </c>
      <c r="F48" t="s">
        <v>4425</v>
      </c>
      <c r="G48" t="s">
        <v>2487</v>
      </c>
    </row>
    <row r="49" spans="1:8">
      <c r="A49" t="s">
        <v>4426</v>
      </c>
      <c r="B49" t="s">
        <v>4427</v>
      </c>
      <c r="C49" t="s">
        <v>4428</v>
      </c>
      <c r="D49" t="s">
        <v>4423</v>
      </c>
      <c r="E49" t="s">
        <v>4429</v>
      </c>
      <c r="F49" t="s">
        <v>4425</v>
      </c>
      <c r="G49" t="s">
        <v>2490</v>
      </c>
    </row>
    <row r="50" spans="1:8">
      <c r="A50" s="190" t="s">
        <v>4430</v>
      </c>
      <c r="B50" s="190" t="s">
        <v>4431</v>
      </c>
      <c r="C50" s="190" t="s">
        <v>4432</v>
      </c>
      <c r="D50" s="190" t="s">
        <v>4433</v>
      </c>
      <c r="E50" s="190" t="s">
        <v>4434</v>
      </c>
      <c r="F50" s="190" t="s">
        <v>4435</v>
      </c>
      <c r="G50" s="190" t="s">
        <v>4436</v>
      </c>
    </row>
    <row r="51" spans="1:8">
      <c r="A51" t="s">
        <v>4437</v>
      </c>
      <c r="B51" t="s">
        <v>4438</v>
      </c>
      <c r="C51" t="s">
        <v>4439</v>
      </c>
      <c r="D51" t="s">
        <v>4423</v>
      </c>
      <c r="E51" t="s">
        <v>4440</v>
      </c>
      <c r="F51" t="s">
        <v>4425</v>
      </c>
      <c r="G51" t="s">
        <v>3309</v>
      </c>
    </row>
    <row r="54" spans="1:8">
      <c r="A54" s="386" t="s">
        <v>4441</v>
      </c>
      <c r="B54" s="321"/>
      <c r="C54" s="321"/>
      <c r="D54" s="321"/>
      <c r="E54" s="321"/>
      <c r="F54" s="321"/>
      <c r="G54" s="321"/>
      <c r="H54" s="321"/>
    </row>
    <row r="55" spans="1:8">
      <c r="A55" s="313" t="s">
        <v>3795</v>
      </c>
      <c r="B55" s="313" t="s">
        <v>41</v>
      </c>
      <c r="C55" s="313" t="s">
        <v>1266</v>
      </c>
      <c r="D55" s="313" t="s">
        <v>2045</v>
      </c>
      <c r="E55" s="313" t="s">
        <v>4362</v>
      </c>
      <c r="F55" s="313" t="s">
        <v>4363</v>
      </c>
      <c r="G55" s="313" t="s">
        <v>4141</v>
      </c>
      <c r="H55" s="313" t="s">
        <v>562</v>
      </c>
    </row>
    <row r="56" spans="1:8">
      <c r="A56" t="s">
        <v>3808</v>
      </c>
      <c r="B56" t="s">
        <v>3809</v>
      </c>
      <c r="C56">
        <v>35</v>
      </c>
      <c r="D56" t="s">
        <v>3811</v>
      </c>
      <c r="E56" t="s">
        <v>4365</v>
      </c>
      <c r="F56" t="s">
        <v>4366</v>
      </c>
      <c r="G56" t="s">
        <v>4442</v>
      </c>
      <c r="H56" t="s">
        <v>4443</v>
      </c>
    </row>
    <row r="57" spans="1:8">
      <c r="A57" t="s">
        <v>3815</v>
      </c>
      <c r="B57" t="s">
        <v>3816</v>
      </c>
      <c r="C57">
        <v>33</v>
      </c>
      <c r="D57" t="s">
        <v>3811</v>
      </c>
      <c r="E57" t="s">
        <v>4365</v>
      </c>
      <c r="F57" t="s">
        <v>4366</v>
      </c>
      <c r="G57" t="s">
        <v>4444</v>
      </c>
      <c r="H57" t="s">
        <v>4443</v>
      </c>
    </row>
    <row r="58" spans="1:8">
      <c r="A58" t="s">
        <v>3818</v>
      </c>
      <c r="B58" t="s">
        <v>3819</v>
      </c>
      <c r="C58">
        <v>15</v>
      </c>
      <c r="D58" t="s">
        <v>1972</v>
      </c>
      <c r="E58" t="s">
        <v>4370</v>
      </c>
      <c r="F58" t="s">
        <v>4371</v>
      </c>
      <c r="G58" t="s">
        <v>4445</v>
      </c>
      <c r="H58" t="s">
        <v>4443</v>
      </c>
    </row>
    <row r="59" spans="1:8">
      <c r="A59" t="s">
        <v>3825</v>
      </c>
      <c r="B59" t="s">
        <v>3826</v>
      </c>
      <c r="C59">
        <v>14</v>
      </c>
      <c r="D59" t="s">
        <v>1972</v>
      </c>
      <c r="E59" t="s">
        <v>4372</v>
      </c>
      <c r="F59" t="s">
        <v>4373</v>
      </c>
      <c r="G59" t="s">
        <v>4446</v>
      </c>
      <c r="H59" t="s">
        <v>4443</v>
      </c>
    </row>
    <row r="60" spans="1:8">
      <c r="A60" t="s">
        <v>3828</v>
      </c>
      <c r="B60" t="s">
        <v>3829</v>
      </c>
      <c r="C60">
        <v>5</v>
      </c>
      <c r="D60" t="s">
        <v>3830</v>
      </c>
      <c r="E60" t="s">
        <v>4379</v>
      </c>
      <c r="F60" t="s">
        <v>4380</v>
      </c>
      <c r="G60" t="s">
        <v>4447</v>
      </c>
      <c r="H60" t="s">
        <v>4443</v>
      </c>
    </row>
    <row r="61" spans="1:8">
      <c r="A61" t="s">
        <v>3834</v>
      </c>
      <c r="B61" t="s">
        <v>3835</v>
      </c>
      <c r="C61">
        <v>4</v>
      </c>
      <c r="D61" t="s">
        <v>3830</v>
      </c>
      <c r="E61" t="s">
        <v>4379</v>
      </c>
      <c r="F61" t="s">
        <v>4380</v>
      </c>
      <c r="G61" t="s">
        <v>4448</v>
      </c>
      <c r="H61" t="s">
        <v>4443</v>
      </c>
    </row>
    <row r="62" spans="1:8">
      <c r="A62" t="s">
        <v>3837</v>
      </c>
      <c r="B62" t="s">
        <v>3838</v>
      </c>
      <c r="C62">
        <v>68</v>
      </c>
      <c r="D62" t="s">
        <v>2075</v>
      </c>
      <c r="E62" t="s">
        <v>4383</v>
      </c>
      <c r="F62" t="s">
        <v>4384</v>
      </c>
      <c r="G62" t="s">
        <v>4449</v>
      </c>
      <c r="H62" t="s">
        <v>4443</v>
      </c>
    </row>
    <row r="63" spans="1:8">
      <c r="A63" t="s">
        <v>3842</v>
      </c>
      <c r="B63" t="s">
        <v>3843</v>
      </c>
      <c r="C63">
        <v>65</v>
      </c>
      <c r="D63" t="s">
        <v>2075</v>
      </c>
      <c r="E63" t="s">
        <v>4383</v>
      </c>
      <c r="F63" t="s">
        <v>4384</v>
      </c>
      <c r="G63" t="s">
        <v>4450</v>
      </c>
      <c r="H63" t="s">
        <v>4443</v>
      </c>
    </row>
    <row r="64" spans="1:8">
      <c r="A64" s="162" t="s">
        <v>2976</v>
      </c>
      <c r="B64" s="162" t="s">
        <v>2976</v>
      </c>
      <c r="C64" s="162">
        <f>'DNA Loop Engine'!B5/52</f>
        <v>0.96153846153846156</v>
      </c>
      <c r="D64" s="162" t="s">
        <v>2971</v>
      </c>
      <c r="E64" s="162" t="s">
        <v>4387</v>
      </c>
      <c r="F64" s="162" t="s">
        <v>4388</v>
      </c>
      <c r="G64" s="162" t="s">
        <v>4451</v>
      </c>
      <c r="H64" s="162" t="s">
        <v>4390</v>
      </c>
    </row>
    <row r="67" spans="1:6">
      <c r="A67" s="371" t="s">
        <v>4452</v>
      </c>
      <c r="B67" s="321"/>
      <c r="C67" s="321"/>
      <c r="D67" s="321"/>
      <c r="E67" s="321"/>
      <c r="F67" s="321"/>
    </row>
    <row r="69" spans="1:6">
      <c r="A69" s="88" t="s">
        <v>669</v>
      </c>
      <c r="B69" s="88" t="s">
        <v>592</v>
      </c>
      <c r="C69" s="88" t="s">
        <v>593</v>
      </c>
      <c r="D69" s="88"/>
      <c r="E69" s="88" t="s">
        <v>669</v>
      </c>
      <c r="F69" s="88" t="s">
        <v>592</v>
      </c>
    </row>
    <row r="70" spans="1:6">
      <c r="A70" t="s">
        <v>4453</v>
      </c>
      <c r="B70">
        <v>11</v>
      </c>
      <c r="E70" t="s">
        <v>4454</v>
      </c>
      <c r="F70">
        <v>4</v>
      </c>
    </row>
    <row r="71" spans="1:6">
      <c r="A71" t="s">
        <v>4455</v>
      </c>
      <c r="B71">
        <v>10</v>
      </c>
      <c r="E71" t="s">
        <v>4456</v>
      </c>
      <c r="F71" t="s">
        <v>4457</v>
      </c>
    </row>
    <row r="72" spans="1:6">
      <c r="A72" t="s">
        <v>4458</v>
      </c>
      <c r="B72">
        <v>5</v>
      </c>
      <c r="E72" t="s">
        <v>4459</v>
      </c>
      <c r="F72">
        <v>1</v>
      </c>
    </row>
    <row r="73" spans="1:6">
      <c r="A73" t="s">
        <v>4460</v>
      </c>
      <c r="B73">
        <v>5</v>
      </c>
    </row>
    <row r="74" spans="1:6">
      <c r="A74" t="s">
        <v>4461</v>
      </c>
      <c r="B74">
        <v>9</v>
      </c>
      <c r="E74" t="s">
        <v>4462</v>
      </c>
      <c r="F74">
        <v>4</v>
      </c>
    </row>
    <row r="75" spans="1:6">
      <c r="A75" t="s">
        <v>4463</v>
      </c>
      <c r="B75">
        <v>20</v>
      </c>
      <c r="E75" t="s">
        <v>4464</v>
      </c>
      <c r="F75">
        <v>1</v>
      </c>
    </row>
    <row r="76" spans="1:6">
      <c r="A76" t="s">
        <v>4465</v>
      </c>
      <c r="B76" s="11">
        <v>0.5</v>
      </c>
      <c r="E76" t="s">
        <v>4466</v>
      </c>
      <c r="F76" s="11">
        <v>0.25</v>
      </c>
    </row>
    <row r="80" spans="1:6">
      <c r="A80" s="387" t="s">
        <v>4467</v>
      </c>
      <c r="B80" s="321"/>
      <c r="C80" s="321"/>
      <c r="D80" s="321"/>
      <c r="E80" s="321"/>
      <c r="F80" s="321"/>
    </row>
    <row r="81" spans="1:6">
      <c r="A81" s="314" t="s">
        <v>2915</v>
      </c>
      <c r="B81" s="314" t="s">
        <v>4468</v>
      </c>
      <c r="C81" s="314" t="s">
        <v>2721</v>
      </c>
      <c r="D81" s="314" t="s">
        <v>562</v>
      </c>
      <c r="E81" s="314"/>
      <c r="F81" s="314"/>
    </row>
    <row r="82" spans="1:6">
      <c r="A82" t="s">
        <v>833</v>
      </c>
      <c r="B82" t="s">
        <v>4469</v>
      </c>
      <c r="C82" t="s">
        <v>4470</v>
      </c>
      <c r="D82" t="s">
        <v>1521</v>
      </c>
    </row>
    <row r="83" spans="1:6">
      <c r="A83" t="s">
        <v>3911</v>
      </c>
      <c r="B83" t="s">
        <v>3191</v>
      </c>
      <c r="C83" t="s">
        <v>4471</v>
      </c>
      <c r="D83" t="s">
        <v>1521</v>
      </c>
    </row>
    <row r="84" spans="1:6">
      <c r="A84" t="s">
        <v>3072</v>
      </c>
      <c r="B84" t="s">
        <v>4472</v>
      </c>
      <c r="C84" t="s">
        <v>4473</v>
      </c>
      <c r="D84" t="s">
        <v>1521</v>
      </c>
    </row>
    <row r="85" spans="1:6">
      <c r="A85" t="s">
        <v>3940</v>
      </c>
      <c r="B85" t="s">
        <v>2828</v>
      </c>
      <c r="C85" t="s">
        <v>4474</v>
      </c>
      <c r="D85" t="s">
        <v>1521</v>
      </c>
    </row>
    <row r="86" spans="1:6">
      <c r="A86" t="s">
        <v>3078</v>
      </c>
      <c r="B86" t="s">
        <v>2955</v>
      </c>
      <c r="C86" t="s">
        <v>4475</v>
      </c>
      <c r="D86" t="s">
        <v>1521</v>
      </c>
    </row>
  </sheetData>
  <mergeCells count="8">
    <mergeCell ref="A46:G46"/>
    <mergeCell ref="A54:H54"/>
    <mergeCell ref="A67:F67"/>
    <mergeCell ref="A80:F80"/>
    <mergeCell ref="A1:F1"/>
    <mergeCell ref="A13:H13"/>
    <mergeCell ref="A22:H22"/>
    <mergeCell ref="A36:G3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C316-8AC0-4580-8FC8-B2FF83814173}">
  <dimension ref="A1:R11"/>
  <sheetViews>
    <sheetView workbookViewId="0"/>
  </sheetViews>
  <sheetFormatPr defaultRowHeight="15"/>
  <cols>
    <col min="1" max="1" width="13.28515625" bestFit="1" customWidth="1"/>
    <col min="2" max="2" width="8.140625" bestFit="1" customWidth="1"/>
    <col min="3" max="3" width="11.140625" bestFit="1" customWidth="1"/>
    <col min="4" max="4" width="15.7109375" bestFit="1" customWidth="1"/>
    <col min="5" max="5" width="21.7109375" bestFit="1" customWidth="1"/>
    <col min="6" max="6" width="16.85546875" bestFit="1" customWidth="1"/>
    <col min="7" max="7" width="22.140625" bestFit="1" customWidth="1"/>
    <col min="8" max="8" width="19" bestFit="1" customWidth="1"/>
    <col min="9" max="9" width="18.5703125" bestFit="1" customWidth="1"/>
    <col min="10" max="10" width="13.42578125" bestFit="1" customWidth="1"/>
    <col min="11" max="11" width="13.140625" bestFit="1" customWidth="1"/>
    <col min="12" max="12" width="16.140625" bestFit="1" customWidth="1"/>
    <col min="13" max="13" width="15.5703125" bestFit="1" customWidth="1"/>
    <col min="14" max="14" width="16" bestFit="1" customWidth="1"/>
    <col min="15" max="15" width="12.5703125" bestFit="1" customWidth="1"/>
    <col min="16" max="16" width="21.42578125" bestFit="1" customWidth="1"/>
    <col min="17" max="17" width="14.28515625" bestFit="1" customWidth="1"/>
    <col min="18" max="18" width="17.28515625" bestFit="1" customWidth="1"/>
  </cols>
  <sheetData>
    <row r="1" spans="1:18">
      <c r="A1" s="10" t="s">
        <v>4476</v>
      </c>
      <c r="B1" s="10" t="s">
        <v>4477</v>
      </c>
      <c r="C1" s="10" t="s">
        <v>42</v>
      </c>
      <c r="D1" s="10" t="s">
        <v>4478</v>
      </c>
      <c r="E1" s="10" t="s">
        <v>4479</v>
      </c>
      <c r="F1" s="10" t="s">
        <v>4480</v>
      </c>
      <c r="G1" s="10" t="s">
        <v>4481</v>
      </c>
      <c r="H1" s="10" t="s">
        <v>4482</v>
      </c>
      <c r="I1" s="10" t="s">
        <v>4483</v>
      </c>
      <c r="J1" s="10" t="s">
        <v>47</v>
      </c>
      <c r="K1" s="10" t="s">
        <v>44</v>
      </c>
      <c r="L1" s="10" t="s">
        <v>4484</v>
      </c>
      <c r="M1" s="10" t="s">
        <v>48</v>
      </c>
      <c r="N1" s="10" t="s">
        <v>49</v>
      </c>
      <c r="O1" s="10" t="s">
        <v>4485</v>
      </c>
      <c r="P1" s="10" t="s">
        <v>1356</v>
      </c>
      <c r="Q1" s="10" t="s">
        <v>4486</v>
      </c>
      <c r="R1" s="10" t="s">
        <v>4487</v>
      </c>
    </row>
    <row r="2" spans="1:18">
      <c r="A2" t="s">
        <v>4488</v>
      </c>
      <c r="B2" t="s">
        <v>4489</v>
      </c>
      <c r="C2" t="s">
        <v>4490</v>
      </c>
      <c r="D2" t="s">
        <v>4491</v>
      </c>
      <c r="E2" t="s">
        <v>4492</v>
      </c>
      <c r="F2" t="s">
        <v>4493</v>
      </c>
      <c r="G2" t="s">
        <v>4494</v>
      </c>
      <c r="H2" t="s">
        <v>4495</v>
      </c>
      <c r="I2" t="s">
        <v>4496</v>
      </c>
      <c r="J2" t="s">
        <v>1553</v>
      </c>
      <c r="K2">
        <v>45</v>
      </c>
      <c r="L2">
        <v>60</v>
      </c>
      <c r="M2">
        <v>50</v>
      </c>
      <c r="N2" t="str">
        <f>IF(O2&gt;=1,"✅ Mastered",IF(O2&gt;0,"🔄 Developing","⏳ Pending"))</f>
        <v>🔄 Developing</v>
      </c>
      <c r="O2" s="11">
        <f>MAX(0,MIN(1,(M2-K2)/(L2-K2)))</f>
        <v>0.33333333333333331</v>
      </c>
      <c r="P2" t="s">
        <v>4497</v>
      </c>
      <c r="Q2" t="s">
        <v>4498</v>
      </c>
      <c r="R2">
        <v>1</v>
      </c>
    </row>
    <row r="3" spans="1:18">
      <c r="A3" t="s">
        <v>4499</v>
      </c>
      <c r="B3" t="s">
        <v>4500</v>
      </c>
      <c r="C3" t="s">
        <v>4501</v>
      </c>
      <c r="D3" t="s">
        <v>4502</v>
      </c>
      <c r="E3" t="s">
        <v>4503</v>
      </c>
      <c r="F3" t="s">
        <v>4504</v>
      </c>
      <c r="G3" t="s">
        <v>4505</v>
      </c>
      <c r="H3" t="s">
        <v>4506</v>
      </c>
      <c r="I3" t="s">
        <v>4507</v>
      </c>
      <c r="J3" t="s">
        <v>292</v>
      </c>
      <c r="K3">
        <v>48</v>
      </c>
      <c r="L3">
        <v>65</v>
      </c>
      <c r="M3">
        <v>50</v>
      </c>
      <c r="N3" t="str">
        <f>IF(O3&gt;=1,"✅ Mastered",IF(O3&gt;0,"🔄 Developing","⏳ Pending"))</f>
        <v>🔄 Developing</v>
      </c>
      <c r="O3" s="11">
        <f>MAX(0,MIN(1,(M3-K3)/(L3-K3)))</f>
        <v>0.11764705882352941</v>
      </c>
      <c r="P3" t="s">
        <v>4508</v>
      </c>
      <c r="Q3" t="s">
        <v>4509</v>
      </c>
      <c r="R3">
        <v>2</v>
      </c>
    </row>
    <row r="4" spans="1:18">
      <c r="A4" t="s">
        <v>4510</v>
      </c>
      <c r="B4" t="s">
        <v>4511</v>
      </c>
      <c r="C4" t="s">
        <v>4512</v>
      </c>
      <c r="D4" t="s">
        <v>4513</v>
      </c>
      <c r="E4" t="s">
        <v>4514</v>
      </c>
      <c r="F4" t="s">
        <v>4515</v>
      </c>
      <c r="G4" t="s">
        <v>4516</v>
      </c>
      <c r="H4" t="s">
        <v>4517</v>
      </c>
      <c r="I4" t="s">
        <v>4518</v>
      </c>
      <c r="J4" t="s">
        <v>3527</v>
      </c>
      <c r="K4">
        <v>50</v>
      </c>
      <c r="L4">
        <v>70</v>
      </c>
      <c r="M4">
        <v>50</v>
      </c>
      <c r="N4" t="str">
        <f>IF(O4&gt;=1,"✅ Mastered",IF(O4&gt;0,"🔄 Developing","⏳ Pending"))</f>
        <v>⏳ Pending</v>
      </c>
      <c r="O4" s="11">
        <f>MAX(0,MIN(1,(M4-K4)/(L4-K4)))</f>
        <v>0</v>
      </c>
      <c r="P4" t="s">
        <v>4519</v>
      </c>
      <c r="Q4" t="s">
        <v>3532</v>
      </c>
      <c r="R4">
        <v>3</v>
      </c>
    </row>
    <row r="5" spans="1:18">
      <c r="A5" t="s">
        <v>4520</v>
      </c>
      <c r="B5" t="s">
        <v>4521</v>
      </c>
      <c r="C5" t="s">
        <v>4490</v>
      </c>
      <c r="D5" t="s">
        <v>4522</v>
      </c>
      <c r="E5" t="s">
        <v>4523</v>
      </c>
      <c r="F5" t="s">
        <v>4524</v>
      </c>
      <c r="G5" t="s">
        <v>4525</v>
      </c>
      <c r="H5" t="s">
        <v>4526</v>
      </c>
      <c r="I5" t="s">
        <v>3832</v>
      </c>
      <c r="J5" t="s">
        <v>1553</v>
      </c>
      <c r="K5">
        <v>44</v>
      </c>
      <c r="L5">
        <v>58</v>
      </c>
      <c r="M5">
        <v>50</v>
      </c>
      <c r="N5" t="str">
        <f>IF(O5&gt;=1,"✅ Mastered",IF(O5&gt;0,"🔄 Developing","⏳ Pending"))</f>
        <v>🔄 Developing</v>
      </c>
      <c r="O5" s="11">
        <f>MAX(0,MIN(1,(M5-K5)/(L5-K5)))</f>
        <v>0.42857142857142855</v>
      </c>
      <c r="P5" t="s">
        <v>4527</v>
      </c>
      <c r="Q5" t="s">
        <v>4498</v>
      </c>
      <c r="R5">
        <v>4</v>
      </c>
    </row>
    <row r="6" spans="1:18">
      <c r="A6" t="s">
        <v>4528</v>
      </c>
      <c r="B6" t="s">
        <v>4529</v>
      </c>
      <c r="C6" t="s">
        <v>4512</v>
      </c>
      <c r="D6" t="s">
        <v>4530</v>
      </c>
      <c r="E6" t="s">
        <v>4531</v>
      </c>
      <c r="F6" t="s">
        <v>4532</v>
      </c>
      <c r="G6" t="s">
        <v>4533</v>
      </c>
      <c r="H6" t="s">
        <v>4534</v>
      </c>
      <c r="I6" t="s">
        <v>3814</v>
      </c>
      <c r="J6" t="s">
        <v>298</v>
      </c>
      <c r="K6">
        <v>52</v>
      </c>
      <c r="L6">
        <v>72</v>
      </c>
      <c r="M6">
        <v>50</v>
      </c>
      <c r="N6" t="str">
        <f>IF(O6&gt;=1,"✅ Mastered",IF(O6&gt;0,"🔄 Developing","⏳ Pending"))</f>
        <v>⏳ Pending</v>
      </c>
      <c r="O6" s="11">
        <f>MAX(0,MIN(1,(M6-K6)/(L6-K6)))</f>
        <v>0</v>
      </c>
      <c r="P6" t="s">
        <v>4535</v>
      </c>
      <c r="Q6" t="s">
        <v>3832</v>
      </c>
      <c r="R6">
        <v>5</v>
      </c>
    </row>
    <row r="7" spans="1:18">
      <c r="A7" t="s">
        <v>4536</v>
      </c>
      <c r="B7" t="s">
        <v>4537</v>
      </c>
      <c r="C7" t="s">
        <v>4501</v>
      </c>
      <c r="D7" t="s">
        <v>4538</v>
      </c>
      <c r="E7" t="s">
        <v>4539</v>
      </c>
      <c r="F7" t="s">
        <v>4540</v>
      </c>
      <c r="G7" t="s">
        <v>4541</v>
      </c>
      <c r="H7" t="s">
        <v>4542</v>
      </c>
      <c r="I7" t="s">
        <v>4543</v>
      </c>
      <c r="J7" t="s">
        <v>495</v>
      </c>
      <c r="K7">
        <v>42</v>
      </c>
      <c r="L7">
        <v>55</v>
      </c>
      <c r="M7">
        <v>50</v>
      </c>
      <c r="N7" t="str">
        <f>IF(O7&gt;=1,"✅ Mastered",IF(O7&gt;0,"🔄 Developing","⏳ Pending"))</f>
        <v>🔄 Developing</v>
      </c>
      <c r="O7" s="11">
        <f>MAX(0,MIN(1,(M7-K7)/(L7-K7)))</f>
        <v>0.61538461538461542</v>
      </c>
      <c r="P7" t="s">
        <v>4544</v>
      </c>
      <c r="Q7" t="s">
        <v>4545</v>
      </c>
      <c r="R7">
        <v>6</v>
      </c>
    </row>
    <row r="8" spans="1:18">
      <c r="A8" t="s">
        <v>4546</v>
      </c>
      <c r="B8" t="s">
        <v>4547</v>
      </c>
      <c r="C8" t="s">
        <v>4490</v>
      </c>
      <c r="D8" t="s">
        <v>4548</v>
      </c>
      <c r="E8" t="s">
        <v>4549</v>
      </c>
      <c r="F8" t="s">
        <v>4550</v>
      </c>
      <c r="G8" t="s">
        <v>4551</v>
      </c>
      <c r="H8" t="s">
        <v>4552</v>
      </c>
      <c r="I8" t="s">
        <v>3827</v>
      </c>
      <c r="J8" t="s">
        <v>1553</v>
      </c>
      <c r="K8">
        <v>46</v>
      </c>
      <c r="L8">
        <v>62</v>
      </c>
      <c r="M8">
        <v>50</v>
      </c>
      <c r="N8" t="str">
        <f>IF(O8&gt;=1,"✅ Mastered",IF(O8&gt;0,"🔄 Developing","⏳ Pending"))</f>
        <v>🔄 Developing</v>
      </c>
      <c r="O8" s="11">
        <f>MAX(0,MIN(1,(M8-K8)/(L8-K8)))</f>
        <v>0.25</v>
      </c>
      <c r="P8" t="s">
        <v>4553</v>
      </c>
      <c r="Q8" t="s">
        <v>4509</v>
      </c>
      <c r="R8">
        <v>7</v>
      </c>
    </row>
    <row r="9" spans="1:18">
      <c r="A9" t="s">
        <v>4554</v>
      </c>
      <c r="B9" t="s">
        <v>4555</v>
      </c>
      <c r="C9" t="s">
        <v>4501</v>
      </c>
      <c r="D9" t="s">
        <v>4556</v>
      </c>
      <c r="E9" t="s">
        <v>4557</v>
      </c>
      <c r="F9" t="s">
        <v>4558</v>
      </c>
      <c r="G9" t="s">
        <v>4559</v>
      </c>
      <c r="H9" t="s">
        <v>4560</v>
      </c>
      <c r="I9" t="s">
        <v>3821</v>
      </c>
      <c r="J9" t="s">
        <v>1553</v>
      </c>
      <c r="K9">
        <v>55</v>
      </c>
      <c r="L9">
        <v>80</v>
      </c>
      <c r="M9">
        <v>50</v>
      </c>
      <c r="N9" t="str">
        <f>IF(O9&gt;=1,"✅ Mastered",IF(O9&gt;0,"🔄 Developing","⏳ Pending"))</f>
        <v>⏳ Pending</v>
      </c>
      <c r="O9" s="11">
        <f>MAX(0,MIN(1,(M9-K9)/(L9-K9)))</f>
        <v>0</v>
      </c>
      <c r="P9" t="s">
        <v>4561</v>
      </c>
      <c r="Q9" t="s">
        <v>4562</v>
      </c>
      <c r="R9">
        <v>8</v>
      </c>
    </row>
    <row r="10" spans="1:18">
      <c r="A10" t="s">
        <v>4563</v>
      </c>
      <c r="B10" t="s">
        <v>4564</v>
      </c>
      <c r="C10" t="s">
        <v>4490</v>
      </c>
      <c r="D10" t="s">
        <v>4565</v>
      </c>
      <c r="E10" t="s">
        <v>4566</v>
      </c>
      <c r="F10" t="s">
        <v>4567</v>
      </c>
      <c r="G10" t="s">
        <v>4568</v>
      </c>
      <c r="H10" t="s">
        <v>4569</v>
      </c>
      <c r="I10" t="s">
        <v>4570</v>
      </c>
      <c r="J10" t="s">
        <v>1394</v>
      </c>
      <c r="K10">
        <v>54</v>
      </c>
      <c r="L10">
        <v>75</v>
      </c>
      <c r="M10">
        <v>50</v>
      </c>
      <c r="N10" t="str">
        <f>IF(O10&gt;=1,"✅ Mastered",IF(O10&gt;0,"🔄 Developing","⏳ Pending"))</f>
        <v>⏳ Pending</v>
      </c>
      <c r="O10" s="11">
        <f>MAX(0,MIN(1,(M10-K10)/(L10-K10)))</f>
        <v>0</v>
      </c>
      <c r="P10" t="s">
        <v>4571</v>
      </c>
      <c r="Q10" t="s">
        <v>4572</v>
      </c>
      <c r="R10">
        <v>9</v>
      </c>
    </row>
    <row r="11" spans="1:18">
      <c r="A11" t="s">
        <v>4573</v>
      </c>
      <c r="B11" t="s">
        <v>4574</v>
      </c>
      <c r="C11" t="s">
        <v>4490</v>
      </c>
      <c r="D11" t="s">
        <v>4575</v>
      </c>
      <c r="E11" t="s">
        <v>4576</v>
      </c>
      <c r="F11" t="s">
        <v>4577</v>
      </c>
      <c r="G11" t="s">
        <v>4578</v>
      </c>
      <c r="H11" t="s">
        <v>4579</v>
      </c>
      <c r="I11" t="s">
        <v>499</v>
      </c>
      <c r="J11" t="s">
        <v>298</v>
      </c>
      <c r="K11">
        <v>48</v>
      </c>
      <c r="L11">
        <v>68</v>
      </c>
      <c r="M11">
        <v>50</v>
      </c>
      <c r="N11" t="str">
        <f>IF(O11&gt;=1,"✅ Mastered",IF(O11&gt;0,"🔄 Developing","⏳ Pending"))</f>
        <v>🔄 Developing</v>
      </c>
      <c r="O11" s="11">
        <f>MAX(0,MIN(1,(M11-K11)/(L11-K11)))</f>
        <v>0.1</v>
      </c>
      <c r="P11" t="s">
        <v>4580</v>
      </c>
      <c r="Q11" t="s">
        <v>3532</v>
      </c>
      <c r="R11">
        <v>10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BCB1-E57E-4CF7-B5EE-C0C977BA433E}">
  <dimension ref="A1:L6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5703125" bestFit="1" customWidth="1"/>
    <col min="2" max="3" width="25.42578125" bestFit="1" customWidth="1"/>
    <col min="4" max="4" width="51.85546875" bestFit="1" customWidth="1"/>
    <col min="5" max="5" width="46.42578125" bestFit="1" customWidth="1"/>
    <col min="6" max="6" width="16.42578125" bestFit="1" customWidth="1"/>
    <col min="7" max="7" width="19.140625" bestFit="1" customWidth="1"/>
    <col min="8" max="8" width="18.5703125" bestFit="1" customWidth="1"/>
    <col min="9" max="9" width="23.5703125" bestFit="1" customWidth="1"/>
    <col min="10" max="10" width="18.85546875" bestFit="1" customWidth="1"/>
    <col min="11" max="11" width="9.5703125" bestFit="1" customWidth="1"/>
    <col min="12" max="12" width="33.7109375" bestFit="1" customWidth="1"/>
  </cols>
  <sheetData>
    <row r="1" spans="1:12" ht="18.75">
      <c r="A1" s="388" t="s">
        <v>4581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</row>
    <row r="3" spans="1:12">
      <c r="A3" s="10" t="s">
        <v>4582</v>
      </c>
      <c r="B3" s="10" t="s">
        <v>4583</v>
      </c>
      <c r="C3" s="10" t="s">
        <v>42</v>
      </c>
      <c r="D3" s="10" t="s">
        <v>4584</v>
      </c>
      <c r="E3" s="10" t="s">
        <v>4585</v>
      </c>
      <c r="F3" s="10" t="s">
        <v>4586</v>
      </c>
      <c r="G3" s="10" t="s">
        <v>47</v>
      </c>
      <c r="H3" s="10" t="s">
        <v>4587</v>
      </c>
      <c r="I3" s="10" t="s">
        <v>4588</v>
      </c>
      <c r="J3" s="10" t="s">
        <v>4589</v>
      </c>
      <c r="K3" s="10" t="s">
        <v>562</v>
      </c>
      <c r="L3" s="10" t="s">
        <v>504</v>
      </c>
    </row>
    <row r="4" spans="1:12">
      <c r="A4" t="s">
        <v>4590</v>
      </c>
      <c r="B4" t="s">
        <v>833</v>
      </c>
      <c r="C4" t="s">
        <v>4591</v>
      </c>
      <c r="D4" t="s">
        <v>4592</v>
      </c>
      <c r="E4" t="s">
        <v>4593</v>
      </c>
      <c r="F4" t="s">
        <v>4594</v>
      </c>
      <c r="G4" t="s">
        <v>4297</v>
      </c>
      <c r="H4" t="s">
        <v>4595</v>
      </c>
      <c r="I4" t="s">
        <v>833</v>
      </c>
      <c r="J4" t="s">
        <v>7</v>
      </c>
      <c r="K4" t="s">
        <v>1508</v>
      </c>
      <c r="L4" t="s">
        <v>4596</v>
      </c>
    </row>
    <row r="5" spans="1:12">
      <c r="A5" t="s">
        <v>4597</v>
      </c>
      <c r="B5" t="s">
        <v>839</v>
      </c>
      <c r="C5" t="s">
        <v>65</v>
      </c>
      <c r="D5" t="s">
        <v>4598</v>
      </c>
      <c r="E5" t="s">
        <v>4599</v>
      </c>
      <c r="F5" t="s">
        <v>4600</v>
      </c>
      <c r="G5" t="s">
        <v>65</v>
      </c>
      <c r="H5" t="s">
        <v>4601</v>
      </c>
      <c r="I5" t="s">
        <v>839</v>
      </c>
      <c r="J5" t="s">
        <v>12</v>
      </c>
      <c r="K5" t="s">
        <v>1508</v>
      </c>
      <c r="L5" t="s">
        <v>4602</v>
      </c>
    </row>
    <row r="6" spans="1:12">
      <c r="A6" t="s">
        <v>4603</v>
      </c>
      <c r="B6" t="s">
        <v>4604</v>
      </c>
      <c r="C6" t="s">
        <v>1563</v>
      </c>
      <c r="D6" t="s">
        <v>4605</v>
      </c>
      <c r="E6" t="s">
        <v>4606</v>
      </c>
      <c r="F6" t="s">
        <v>4607</v>
      </c>
      <c r="G6" t="s">
        <v>1563</v>
      </c>
      <c r="H6" t="s">
        <v>4608</v>
      </c>
      <c r="I6" t="s">
        <v>842</v>
      </c>
      <c r="J6" t="s">
        <v>27</v>
      </c>
      <c r="K6" t="s">
        <v>1508</v>
      </c>
      <c r="L6" t="s">
        <v>4609</v>
      </c>
    </row>
    <row r="7" spans="1:12">
      <c r="A7" t="s">
        <v>4610</v>
      </c>
      <c r="B7" t="s">
        <v>4611</v>
      </c>
      <c r="C7" t="s">
        <v>495</v>
      </c>
      <c r="D7" t="s">
        <v>4612</v>
      </c>
      <c r="E7" t="s">
        <v>4613</v>
      </c>
      <c r="F7" t="s">
        <v>4614</v>
      </c>
      <c r="G7" t="s">
        <v>65</v>
      </c>
      <c r="H7" t="s">
        <v>4615</v>
      </c>
      <c r="I7" t="s">
        <v>882</v>
      </c>
      <c r="J7" t="s">
        <v>12</v>
      </c>
      <c r="K7" t="s">
        <v>1508</v>
      </c>
      <c r="L7" t="s">
        <v>4616</v>
      </c>
    </row>
    <row r="8" spans="1:12">
      <c r="A8" t="s">
        <v>4617</v>
      </c>
      <c r="B8" t="s">
        <v>4618</v>
      </c>
      <c r="C8" t="s">
        <v>1579</v>
      </c>
      <c r="D8" t="s">
        <v>4619</v>
      </c>
      <c r="E8" t="s">
        <v>4620</v>
      </c>
      <c r="F8" t="s">
        <v>4621</v>
      </c>
      <c r="G8" t="s">
        <v>1579</v>
      </c>
      <c r="H8" t="s">
        <v>4622</v>
      </c>
      <c r="I8" t="s">
        <v>966</v>
      </c>
      <c r="J8" t="s">
        <v>17</v>
      </c>
      <c r="K8" t="s">
        <v>1508</v>
      </c>
      <c r="L8" t="s">
        <v>4623</v>
      </c>
    </row>
    <row r="9" spans="1:12">
      <c r="A9" t="s">
        <v>4624</v>
      </c>
      <c r="B9" t="s">
        <v>1170</v>
      </c>
      <c r="C9" t="s">
        <v>298</v>
      </c>
      <c r="D9" t="s">
        <v>4625</v>
      </c>
      <c r="E9" t="s">
        <v>4626</v>
      </c>
      <c r="F9" t="s">
        <v>4627</v>
      </c>
      <c r="G9" t="s">
        <v>298</v>
      </c>
      <c r="H9" t="s">
        <v>4628</v>
      </c>
      <c r="I9" t="s">
        <v>1170</v>
      </c>
      <c r="J9" t="s">
        <v>27</v>
      </c>
      <c r="K9" t="s">
        <v>1508</v>
      </c>
      <c r="L9" t="s">
        <v>4629</v>
      </c>
    </row>
    <row r="10" spans="1:12">
      <c r="A10" t="s">
        <v>4630</v>
      </c>
      <c r="B10" t="s">
        <v>3777</v>
      </c>
      <c r="C10" t="s">
        <v>3527</v>
      </c>
      <c r="D10" t="s">
        <v>4631</v>
      </c>
      <c r="E10" t="s">
        <v>4632</v>
      </c>
      <c r="F10" t="s">
        <v>4633</v>
      </c>
      <c r="G10" t="s">
        <v>3527</v>
      </c>
      <c r="H10" t="s">
        <v>4634</v>
      </c>
      <c r="I10" t="s">
        <v>3777</v>
      </c>
      <c r="J10" t="s">
        <v>4635</v>
      </c>
      <c r="K10" t="s">
        <v>1508</v>
      </c>
      <c r="L10" t="s">
        <v>4636</v>
      </c>
    </row>
    <row r="11" spans="1:12">
      <c r="A11" t="s">
        <v>4637</v>
      </c>
      <c r="B11" t="s">
        <v>4638</v>
      </c>
      <c r="C11" t="s">
        <v>1553</v>
      </c>
      <c r="D11" t="s">
        <v>4639</v>
      </c>
      <c r="E11" t="s">
        <v>4640</v>
      </c>
      <c r="F11" t="s">
        <v>4641</v>
      </c>
      <c r="G11" t="s">
        <v>4642</v>
      </c>
      <c r="H11" t="s">
        <v>4643</v>
      </c>
      <c r="I11" t="s">
        <v>3724</v>
      </c>
      <c r="J11" t="s">
        <v>27</v>
      </c>
      <c r="K11" t="s">
        <v>1508</v>
      </c>
      <c r="L11" t="s">
        <v>4644</v>
      </c>
    </row>
    <row r="12" spans="1:12">
      <c r="A12" t="s">
        <v>4645</v>
      </c>
      <c r="B12" t="s">
        <v>4646</v>
      </c>
      <c r="C12" t="s">
        <v>1553</v>
      </c>
      <c r="D12" t="s">
        <v>4647</v>
      </c>
      <c r="E12" t="s">
        <v>4648</v>
      </c>
      <c r="F12" t="s">
        <v>4649</v>
      </c>
      <c r="G12" t="s">
        <v>4650</v>
      </c>
      <c r="H12" t="s">
        <v>4651</v>
      </c>
      <c r="I12" t="s">
        <v>3726</v>
      </c>
      <c r="J12" t="s">
        <v>4635</v>
      </c>
      <c r="K12" t="s">
        <v>1508</v>
      </c>
      <c r="L12" t="s">
        <v>4652</v>
      </c>
    </row>
    <row r="13" spans="1:12">
      <c r="A13" t="s">
        <v>4653</v>
      </c>
      <c r="B13" t="s">
        <v>4286</v>
      </c>
      <c r="C13" t="s">
        <v>4654</v>
      </c>
      <c r="D13" t="s">
        <v>4655</v>
      </c>
      <c r="E13" t="s">
        <v>4656</v>
      </c>
      <c r="F13" t="s">
        <v>4657</v>
      </c>
      <c r="G13" t="s">
        <v>4658</v>
      </c>
      <c r="H13" t="s">
        <v>4659</v>
      </c>
      <c r="I13" t="s">
        <v>4286</v>
      </c>
      <c r="J13" t="s">
        <v>37</v>
      </c>
      <c r="K13" t="s">
        <v>1508</v>
      </c>
      <c r="L13" t="s">
        <v>4660</v>
      </c>
    </row>
    <row r="14" spans="1:12">
      <c r="A14" t="s">
        <v>4661</v>
      </c>
      <c r="B14" t="s">
        <v>4662</v>
      </c>
      <c r="C14" t="s">
        <v>2955</v>
      </c>
      <c r="D14" t="s">
        <v>4663</v>
      </c>
      <c r="E14" t="s">
        <v>4664</v>
      </c>
      <c r="F14" t="s">
        <v>4665</v>
      </c>
      <c r="G14" t="s">
        <v>2129</v>
      </c>
      <c r="H14" t="s">
        <v>4666</v>
      </c>
      <c r="I14" t="s">
        <v>2754</v>
      </c>
      <c r="J14" t="s">
        <v>4667</v>
      </c>
      <c r="K14" t="s">
        <v>1508</v>
      </c>
      <c r="L14" t="s">
        <v>4668</v>
      </c>
    </row>
    <row r="15" spans="1:12">
      <c r="A15" t="s">
        <v>4669</v>
      </c>
      <c r="B15" t="s">
        <v>4670</v>
      </c>
      <c r="C15" t="s">
        <v>1776</v>
      </c>
      <c r="D15" t="s">
        <v>4671</v>
      </c>
      <c r="E15" t="s">
        <v>4672</v>
      </c>
      <c r="F15" t="s">
        <v>4673</v>
      </c>
      <c r="G15" t="s">
        <v>1553</v>
      </c>
      <c r="H15" t="s">
        <v>4674</v>
      </c>
      <c r="I15" t="s">
        <v>4675</v>
      </c>
      <c r="J15" t="s">
        <v>4667</v>
      </c>
      <c r="K15" t="s">
        <v>1508</v>
      </c>
      <c r="L15" t="s">
        <v>4676</v>
      </c>
    </row>
    <row r="18" spans="1:9" ht="15.75">
      <c r="A18" s="337" t="s">
        <v>4677</v>
      </c>
      <c r="B18" s="321"/>
      <c r="C18" s="321"/>
      <c r="D18" s="321"/>
      <c r="E18" s="321"/>
      <c r="F18" s="321"/>
      <c r="G18" s="321"/>
      <c r="H18" s="321"/>
    </row>
    <row r="20" spans="1:9">
      <c r="A20" s="188" t="s">
        <v>4678</v>
      </c>
      <c r="B20" s="188" t="s">
        <v>2214</v>
      </c>
      <c r="C20" s="188" t="s">
        <v>4679</v>
      </c>
      <c r="D20" s="188" t="s">
        <v>4680</v>
      </c>
      <c r="E20" s="188" t="s">
        <v>4681</v>
      </c>
      <c r="F20" s="188" t="s">
        <v>4682</v>
      </c>
      <c r="G20" s="188" t="s">
        <v>2002</v>
      </c>
      <c r="H20" s="188" t="s">
        <v>47</v>
      </c>
      <c r="I20" s="188" t="s">
        <v>4683</v>
      </c>
    </row>
    <row r="21" spans="1:9">
      <c r="A21" t="s">
        <v>4684</v>
      </c>
      <c r="B21" t="s">
        <v>4685</v>
      </c>
      <c r="C21" t="s">
        <v>4686</v>
      </c>
      <c r="D21" t="s">
        <v>4687</v>
      </c>
      <c r="E21" s="7">
        <v>0.01</v>
      </c>
      <c r="F21" s="7">
        <v>0.1</v>
      </c>
      <c r="G21" s="7">
        <v>0.05</v>
      </c>
      <c r="H21" t="s">
        <v>4297</v>
      </c>
      <c r="I21" t="s">
        <v>4590</v>
      </c>
    </row>
    <row r="22" spans="1:9">
      <c r="A22" t="s">
        <v>4688</v>
      </c>
      <c r="B22" t="s">
        <v>4689</v>
      </c>
      <c r="C22" t="s">
        <v>4690</v>
      </c>
      <c r="D22" t="s">
        <v>4691</v>
      </c>
      <c r="E22" s="7">
        <v>0.01</v>
      </c>
      <c r="F22" s="7">
        <v>0.1</v>
      </c>
      <c r="G22" s="7">
        <v>0.05</v>
      </c>
      <c r="H22" t="s">
        <v>4297</v>
      </c>
      <c r="I22" t="s">
        <v>4590</v>
      </c>
    </row>
    <row r="23" spans="1:9">
      <c r="A23" t="s">
        <v>4692</v>
      </c>
      <c r="B23" t="s">
        <v>4693</v>
      </c>
      <c r="C23" t="s">
        <v>4694</v>
      </c>
      <c r="D23" t="s">
        <v>4695</v>
      </c>
      <c r="E23" s="7">
        <v>0.01</v>
      </c>
      <c r="F23" s="7">
        <v>0.1</v>
      </c>
      <c r="G23" s="7">
        <v>0.03</v>
      </c>
      <c r="H23" t="s">
        <v>4297</v>
      </c>
      <c r="I23" t="s">
        <v>4590</v>
      </c>
    </row>
    <row r="24" spans="1:9">
      <c r="A24" t="s">
        <v>4696</v>
      </c>
      <c r="B24" t="s">
        <v>4697</v>
      </c>
      <c r="C24" t="s">
        <v>4698</v>
      </c>
      <c r="D24" t="s">
        <v>4699</v>
      </c>
      <c r="E24" s="7">
        <v>0.1</v>
      </c>
      <c r="F24" s="7">
        <v>1</v>
      </c>
      <c r="G24" s="7">
        <v>0.5</v>
      </c>
      <c r="H24" t="s">
        <v>65</v>
      </c>
      <c r="I24" t="s">
        <v>4597</v>
      </c>
    </row>
    <row r="25" spans="1:9">
      <c r="A25" t="s">
        <v>4700</v>
      </c>
      <c r="B25" t="s">
        <v>4701</v>
      </c>
      <c r="C25" t="s">
        <v>4702</v>
      </c>
      <c r="D25" t="s">
        <v>4703</v>
      </c>
      <c r="E25" s="7">
        <v>0.1</v>
      </c>
      <c r="F25" s="7">
        <v>1</v>
      </c>
      <c r="G25" s="7">
        <v>0.6</v>
      </c>
      <c r="H25" t="s">
        <v>65</v>
      </c>
      <c r="I25" t="s">
        <v>4597</v>
      </c>
    </row>
    <row r="26" spans="1:9">
      <c r="A26" t="s">
        <v>4704</v>
      </c>
      <c r="B26" t="s">
        <v>4705</v>
      </c>
      <c r="C26" t="s">
        <v>4706</v>
      </c>
      <c r="D26" t="s">
        <v>4707</v>
      </c>
      <c r="E26" s="7">
        <v>0.1</v>
      </c>
      <c r="F26" s="7">
        <v>1</v>
      </c>
      <c r="G26" s="7">
        <v>0.4</v>
      </c>
      <c r="H26" t="s">
        <v>65</v>
      </c>
      <c r="I26" t="s">
        <v>4597</v>
      </c>
    </row>
    <row r="27" spans="1:9">
      <c r="A27" t="s">
        <v>4708</v>
      </c>
      <c r="B27" t="s">
        <v>4709</v>
      </c>
      <c r="C27" t="s">
        <v>4710</v>
      </c>
      <c r="D27" t="s">
        <v>4711</v>
      </c>
      <c r="E27" s="7">
        <v>0.1</v>
      </c>
      <c r="F27" s="7">
        <v>0.5</v>
      </c>
      <c r="G27" s="7">
        <v>0.2</v>
      </c>
      <c r="H27" t="s">
        <v>65</v>
      </c>
      <c r="I27" t="s">
        <v>4597</v>
      </c>
    </row>
    <row r="28" spans="1:9">
      <c r="A28" t="s">
        <v>4712</v>
      </c>
      <c r="B28" t="s">
        <v>4713</v>
      </c>
      <c r="C28" t="s">
        <v>4714</v>
      </c>
      <c r="D28" t="s">
        <v>4715</v>
      </c>
      <c r="E28" s="7">
        <v>1E-3</v>
      </c>
      <c r="F28" s="7">
        <v>0.05</v>
      </c>
      <c r="G28" s="7">
        <v>0.02</v>
      </c>
      <c r="H28" t="s">
        <v>1563</v>
      </c>
      <c r="I28" t="s">
        <v>4603</v>
      </c>
    </row>
    <row r="29" spans="1:9">
      <c r="A29" t="s">
        <v>4716</v>
      </c>
      <c r="B29" t="s">
        <v>4717</v>
      </c>
      <c r="C29" t="s">
        <v>4718</v>
      </c>
      <c r="D29" t="s">
        <v>4719</v>
      </c>
      <c r="E29" s="7">
        <v>1E-3</v>
      </c>
      <c r="F29" s="7">
        <v>0.05</v>
      </c>
      <c r="G29" s="7">
        <v>1.4999999999999999E-2</v>
      </c>
      <c r="H29" t="s">
        <v>1563</v>
      </c>
      <c r="I29" t="s">
        <v>4603</v>
      </c>
    </row>
    <row r="30" spans="1:9">
      <c r="A30" t="s">
        <v>4720</v>
      </c>
      <c r="B30" t="s">
        <v>4721</v>
      </c>
      <c r="C30" t="s">
        <v>4722</v>
      </c>
      <c r="D30" t="s">
        <v>4723</v>
      </c>
      <c r="E30" s="7">
        <v>1E-3</v>
      </c>
      <c r="F30" s="7">
        <v>0.05</v>
      </c>
      <c r="G30" s="7">
        <v>0.03</v>
      </c>
      <c r="H30" t="s">
        <v>1563</v>
      </c>
      <c r="I30" t="s">
        <v>4603</v>
      </c>
    </row>
    <row r="31" spans="1:9">
      <c r="A31" t="s">
        <v>4724</v>
      </c>
      <c r="B31" t="s">
        <v>4725</v>
      </c>
      <c r="C31" t="s">
        <v>4726</v>
      </c>
      <c r="D31" t="s">
        <v>4727</v>
      </c>
      <c r="E31" s="7">
        <v>1E-3</v>
      </c>
      <c r="F31" s="7">
        <v>0.05</v>
      </c>
      <c r="G31" s="7">
        <v>0.01</v>
      </c>
      <c r="H31" t="s">
        <v>1563</v>
      </c>
      <c r="I31" t="s">
        <v>4603</v>
      </c>
    </row>
    <row r="32" spans="1:9">
      <c r="A32" t="s">
        <v>4728</v>
      </c>
      <c r="B32" t="s">
        <v>4729</v>
      </c>
      <c r="C32" t="s">
        <v>4730</v>
      </c>
      <c r="D32" t="s">
        <v>4731</v>
      </c>
      <c r="E32" s="7">
        <v>0.1</v>
      </c>
      <c r="F32" s="7">
        <v>0.5</v>
      </c>
      <c r="G32" s="7">
        <v>0.3</v>
      </c>
      <c r="H32" t="s">
        <v>2520</v>
      </c>
      <c r="I32" t="s">
        <v>4610</v>
      </c>
    </row>
    <row r="33" spans="1:9">
      <c r="A33" t="s">
        <v>4732</v>
      </c>
      <c r="B33" t="s">
        <v>4733</v>
      </c>
      <c r="C33" t="s">
        <v>4734</v>
      </c>
      <c r="D33" t="s">
        <v>4735</v>
      </c>
      <c r="E33" s="7">
        <v>0.1</v>
      </c>
      <c r="F33" s="7">
        <v>0.5</v>
      </c>
      <c r="G33" s="7">
        <v>0.35</v>
      </c>
      <c r="H33" t="s">
        <v>2520</v>
      </c>
      <c r="I33" t="s">
        <v>4610</v>
      </c>
    </row>
    <row r="34" spans="1:9">
      <c r="A34" t="s">
        <v>4736</v>
      </c>
      <c r="B34" t="s">
        <v>4737</v>
      </c>
      <c r="C34" t="s">
        <v>4738</v>
      </c>
      <c r="D34" t="s">
        <v>4739</v>
      </c>
      <c r="E34" s="7">
        <v>0.1</v>
      </c>
      <c r="F34" s="7">
        <v>0.5</v>
      </c>
      <c r="G34" s="7">
        <v>0.25</v>
      </c>
      <c r="H34" t="s">
        <v>2520</v>
      </c>
      <c r="I34" t="s">
        <v>4610</v>
      </c>
    </row>
    <row r="35" spans="1:9">
      <c r="A35" t="s">
        <v>4740</v>
      </c>
      <c r="B35" t="s">
        <v>4741</v>
      </c>
      <c r="C35" t="s">
        <v>4742</v>
      </c>
      <c r="D35" t="s">
        <v>4743</v>
      </c>
      <c r="E35" s="7">
        <v>0.05</v>
      </c>
      <c r="F35" s="7">
        <v>0.2</v>
      </c>
      <c r="G35" s="7">
        <v>0.12</v>
      </c>
      <c r="H35" t="s">
        <v>1579</v>
      </c>
      <c r="I35" t="s">
        <v>4617</v>
      </c>
    </row>
    <row r="36" spans="1:9">
      <c r="A36" t="s">
        <v>4744</v>
      </c>
      <c r="B36" t="s">
        <v>4745</v>
      </c>
      <c r="C36" t="s">
        <v>4746</v>
      </c>
      <c r="D36" t="s">
        <v>4747</v>
      </c>
      <c r="E36" s="7">
        <v>0.05</v>
      </c>
      <c r="F36" s="7">
        <v>0.2</v>
      </c>
      <c r="G36" s="7">
        <v>0.08</v>
      </c>
      <c r="H36" t="s">
        <v>1579</v>
      </c>
      <c r="I36" t="s">
        <v>4617</v>
      </c>
    </row>
    <row r="37" spans="1:9">
      <c r="A37" t="s">
        <v>4748</v>
      </c>
      <c r="B37" t="s">
        <v>2277</v>
      </c>
      <c r="C37" t="s">
        <v>4749</v>
      </c>
      <c r="D37" t="s">
        <v>4750</v>
      </c>
      <c r="E37" s="7">
        <v>0.05</v>
      </c>
      <c r="F37" s="7">
        <v>0.2</v>
      </c>
      <c r="G37" s="7">
        <v>0.1</v>
      </c>
      <c r="H37" t="s">
        <v>1579</v>
      </c>
      <c r="I37" t="s">
        <v>4617</v>
      </c>
    </row>
    <row r="38" spans="1:9">
      <c r="A38" t="s">
        <v>4751</v>
      </c>
      <c r="B38" t="s">
        <v>4752</v>
      </c>
      <c r="C38" t="s">
        <v>4753</v>
      </c>
      <c r="D38" t="s">
        <v>4754</v>
      </c>
      <c r="E38" s="7">
        <v>0.1</v>
      </c>
      <c r="F38" s="7">
        <v>0.5</v>
      </c>
      <c r="G38" s="7">
        <v>0.25</v>
      </c>
      <c r="H38" t="s">
        <v>298</v>
      </c>
      <c r="I38" t="s">
        <v>4624</v>
      </c>
    </row>
    <row r="39" spans="1:9">
      <c r="A39" t="s">
        <v>4755</v>
      </c>
      <c r="B39" t="s">
        <v>4756</v>
      </c>
      <c r="C39" t="s">
        <v>4757</v>
      </c>
      <c r="D39" t="s">
        <v>4758</v>
      </c>
      <c r="E39" s="7">
        <v>0.1</v>
      </c>
      <c r="F39" s="7">
        <v>0.5</v>
      </c>
      <c r="G39" s="7">
        <v>0.3</v>
      </c>
      <c r="H39" t="s">
        <v>298</v>
      </c>
      <c r="I39" t="s">
        <v>4624</v>
      </c>
    </row>
    <row r="40" spans="1:9">
      <c r="A40" t="s">
        <v>4759</v>
      </c>
      <c r="B40" t="s">
        <v>4760</v>
      </c>
      <c r="C40" t="s">
        <v>4761</v>
      </c>
      <c r="D40" t="s">
        <v>4762</v>
      </c>
      <c r="E40" s="7">
        <v>0.05</v>
      </c>
      <c r="F40" s="7">
        <v>0.2</v>
      </c>
      <c r="G40" s="7">
        <v>0.12</v>
      </c>
      <c r="H40" t="s">
        <v>3527</v>
      </c>
      <c r="I40" t="s">
        <v>4630</v>
      </c>
    </row>
    <row r="41" spans="1:9">
      <c r="A41" t="s">
        <v>4763</v>
      </c>
      <c r="B41" t="s">
        <v>4764</v>
      </c>
      <c r="C41" t="s">
        <v>4765</v>
      </c>
      <c r="D41" t="s">
        <v>4766</v>
      </c>
      <c r="E41" s="7">
        <v>0.05</v>
      </c>
      <c r="F41" s="7">
        <v>0.2</v>
      </c>
      <c r="G41" s="7">
        <v>0.15</v>
      </c>
      <c r="H41" t="s">
        <v>3527</v>
      </c>
      <c r="I41" t="s">
        <v>4630</v>
      </c>
    </row>
    <row r="42" spans="1:9">
      <c r="A42" t="s">
        <v>4767</v>
      </c>
      <c r="B42" t="s">
        <v>4768</v>
      </c>
      <c r="C42" t="s">
        <v>4769</v>
      </c>
      <c r="D42" t="s">
        <v>4770</v>
      </c>
      <c r="E42" s="7">
        <v>0.01</v>
      </c>
      <c r="F42" s="7">
        <v>0.1</v>
      </c>
      <c r="G42" s="7">
        <v>0.05</v>
      </c>
      <c r="H42" t="s">
        <v>1553</v>
      </c>
      <c r="I42" t="s">
        <v>4637</v>
      </c>
    </row>
    <row r="43" spans="1:9">
      <c r="A43" t="s">
        <v>4771</v>
      </c>
      <c r="B43" t="s">
        <v>2476</v>
      </c>
      <c r="C43" t="s">
        <v>4772</v>
      </c>
      <c r="D43" t="s">
        <v>4773</v>
      </c>
      <c r="E43" s="7">
        <v>0.01</v>
      </c>
      <c r="F43" s="7">
        <v>0.1</v>
      </c>
      <c r="G43" s="7">
        <v>0.04</v>
      </c>
      <c r="H43" t="s">
        <v>1553</v>
      </c>
      <c r="I43" t="s">
        <v>4637</v>
      </c>
    </row>
    <row r="46" spans="1:9" ht="15.75">
      <c r="A46" s="389" t="s">
        <v>4774</v>
      </c>
      <c r="B46" s="321"/>
      <c r="C46" s="321"/>
      <c r="D46" s="321"/>
      <c r="E46" s="321"/>
      <c r="F46" s="321"/>
      <c r="G46" s="321"/>
    </row>
    <row r="48" spans="1:9">
      <c r="A48" s="315" t="s">
        <v>4775</v>
      </c>
      <c r="B48" s="315" t="s">
        <v>4776</v>
      </c>
      <c r="C48" s="315" t="s">
        <v>4777</v>
      </c>
      <c r="D48" s="315" t="s">
        <v>4778</v>
      </c>
      <c r="E48" s="315" t="s">
        <v>4779</v>
      </c>
      <c r="F48" s="315" t="s">
        <v>4780</v>
      </c>
      <c r="G48" s="315" t="s">
        <v>4781</v>
      </c>
    </row>
    <row r="49" spans="1:7">
      <c r="A49" t="s">
        <v>833</v>
      </c>
      <c r="B49" t="s">
        <v>4590</v>
      </c>
      <c r="C49" t="s">
        <v>4782</v>
      </c>
      <c r="D49" t="s">
        <v>4783</v>
      </c>
      <c r="E49" t="s">
        <v>4784</v>
      </c>
      <c r="F49" t="s">
        <v>4785</v>
      </c>
      <c r="G49" t="s">
        <v>4786</v>
      </c>
    </row>
    <row r="50" spans="1:7">
      <c r="A50" t="s">
        <v>839</v>
      </c>
      <c r="B50" t="s">
        <v>4597</v>
      </c>
      <c r="C50" t="s">
        <v>4787</v>
      </c>
      <c r="D50" t="s">
        <v>4788</v>
      </c>
      <c r="E50" t="s">
        <v>4789</v>
      </c>
      <c r="F50" t="s">
        <v>4790</v>
      </c>
      <c r="G50" t="s">
        <v>4786</v>
      </c>
    </row>
    <row r="51" spans="1:7">
      <c r="A51" t="s">
        <v>842</v>
      </c>
      <c r="B51" t="s">
        <v>4603</v>
      </c>
      <c r="C51" t="s">
        <v>4791</v>
      </c>
      <c r="D51" t="s">
        <v>4792</v>
      </c>
      <c r="E51" t="s">
        <v>4793</v>
      </c>
      <c r="F51" t="s">
        <v>4794</v>
      </c>
      <c r="G51" t="s">
        <v>4786</v>
      </c>
    </row>
    <row r="52" spans="1:7">
      <c r="A52" t="s">
        <v>882</v>
      </c>
      <c r="B52" t="s">
        <v>4610</v>
      </c>
      <c r="C52" t="s">
        <v>4617</v>
      </c>
      <c r="D52" t="s">
        <v>4795</v>
      </c>
      <c r="E52" t="s">
        <v>4796</v>
      </c>
      <c r="F52" t="s">
        <v>4067</v>
      </c>
      <c r="G52" t="s">
        <v>4786</v>
      </c>
    </row>
    <row r="53" spans="1:7">
      <c r="A53" t="s">
        <v>966</v>
      </c>
      <c r="B53" t="s">
        <v>4617</v>
      </c>
      <c r="C53" t="s">
        <v>4610</v>
      </c>
      <c r="D53" t="s">
        <v>4797</v>
      </c>
      <c r="E53" t="s">
        <v>4798</v>
      </c>
      <c r="F53" t="s">
        <v>4799</v>
      </c>
      <c r="G53" t="s">
        <v>4786</v>
      </c>
    </row>
    <row r="54" spans="1:7">
      <c r="A54" t="s">
        <v>1170</v>
      </c>
      <c r="B54" t="s">
        <v>4624</v>
      </c>
      <c r="C54" t="s">
        <v>4800</v>
      </c>
      <c r="D54" t="s">
        <v>4801</v>
      </c>
      <c r="E54" t="s">
        <v>4802</v>
      </c>
      <c r="F54" t="s">
        <v>4803</v>
      </c>
      <c r="G54" t="s">
        <v>4786</v>
      </c>
    </row>
    <row r="55" spans="1:7">
      <c r="A55" t="s">
        <v>3777</v>
      </c>
      <c r="B55" t="s">
        <v>4630</v>
      </c>
      <c r="C55" t="s">
        <v>4804</v>
      </c>
      <c r="D55" t="s">
        <v>4805</v>
      </c>
      <c r="E55" t="s">
        <v>4806</v>
      </c>
      <c r="F55" t="s">
        <v>4807</v>
      </c>
      <c r="G55" t="s">
        <v>4786</v>
      </c>
    </row>
    <row r="56" spans="1:7">
      <c r="A56" t="s">
        <v>3724</v>
      </c>
      <c r="B56" t="s">
        <v>4637</v>
      </c>
      <c r="C56" t="s">
        <v>4808</v>
      </c>
      <c r="D56" t="s">
        <v>4809</v>
      </c>
      <c r="E56" t="s">
        <v>4810</v>
      </c>
      <c r="F56" t="s">
        <v>4811</v>
      </c>
      <c r="G56" t="s">
        <v>4786</v>
      </c>
    </row>
    <row r="57" spans="1:7">
      <c r="A57" t="s">
        <v>3726</v>
      </c>
      <c r="B57" t="s">
        <v>4645</v>
      </c>
      <c r="C57" t="s">
        <v>4624</v>
      </c>
      <c r="D57" t="s">
        <v>4812</v>
      </c>
      <c r="E57" t="s">
        <v>4813</v>
      </c>
      <c r="F57" t="s">
        <v>4803</v>
      </c>
      <c r="G57" t="s">
        <v>4786</v>
      </c>
    </row>
    <row r="58" spans="1:7">
      <c r="A58" t="s">
        <v>4286</v>
      </c>
      <c r="B58" t="s">
        <v>4653</v>
      </c>
      <c r="C58" t="s">
        <v>4814</v>
      </c>
      <c r="D58" t="s">
        <v>4815</v>
      </c>
      <c r="E58" t="s">
        <v>4816</v>
      </c>
      <c r="F58" t="s">
        <v>4790</v>
      </c>
      <c r="G58" t="s">
        <v>4786</v>
      </c>
    </row>
    <row r="59" spans="1:7">
      <c r="A59" t="s">
        <v>2754</v>
      </c>
      <c r="B59" t="s">
        <v>4661</v>
      </c>
      <c r="C59" t="s">
        <v>4653</v>
      </c>
      <c r="D59" t="s">
        <v>4817</v>
      </c>
      <c r="E59" t="s">
        <v>4818</v>
      </c>
      <c r="F59" t="s">
        <v>4799</v>
      </c>
      <c r="G59" t="s">
        <v>4786</v>
      </c>
    </row>
    <row r="60" spans="1:7">
      <c r="A60" t="s">
        <v>4675</v>
      </c>
      <c r="B60" t="s">
        <v>4669</v>
      </c>
      <c r="C60" t="s">
        <v>4819</v>
      </c>
      <c r="D60" t="s">
        <v>4820</v>
      </c>
      <c r="E60" t="s">
        <v>4821</v>
      </c>
      <c r="F60" t="s">
        <v>4794</v>
      </c>
      <c r="G60" t="s">
        <v>4786</v>
      </c>
    </row>
  </sheetData>
  <mergeCells count="3">
    <mergeCell ref="A1:L1"/>
    <mergeCell ref="A18:H18"/>
    <mergeCell ref="A46:G46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2026-05-24T15:32:03Z</dcterms:created>
  <dcterms:modified xsi:type="dcterms:W3CDTF">2026-05-24T19:48:56Z</dcterms:modified>
  <cp:category/>
  <cp:contentStatus/>
</cp:coreProperties>
</file>